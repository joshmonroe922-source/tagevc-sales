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5"/>
  <workbookPr defaultThemeVersion="166925"/>
  <xr:revisionPtr revIDLastSave="0" documentId="8_{BFAD787B-A435-4AC5-86A9-34F3EC2F0FB6}" xr6:coauthVersionLast="47" xr6:coauthVersionMax="47" xr10:uidLastSave="{00000000-0000-0000-0000-000000000000}"/>
  <bookViews>
    <workbookView xWindow="240" yWindow="105" windowWidth="14805" windowHeight="8010" xr2:uid="{00000000-000D-0000-FFFF-FFFF00000000}"/>
  </bookViews>
  <sheets>
    <sheet name="How We Run" sheetId="35" r:id="rId1"/>
    <sheet name="Brand &amp; Styling Guide" sheetId="53" r:id="rId2"/>
    <sheet name="Process Map" sheetId="17" r:id="rId3"/>
    <sheet name="Command Center" sheetId="18" r:id="rId4"/>
    <sheet name="Portal Architecture" sheetId="54" r:id="rId5"/>
    <sheet name="Platform Spec" sheetId="24" r:id="rId6"/>
    <sheet name="Cursor Brief" sheetId="25" r:id="rId7"/>
    <sheet name="Data Dictionary" sheetId="23" r:id="rId8"/>
    <sheet name="Entity Master" sheetId="48" r:id="rId9"/>
    <sheet name="Pipeline Active" sheetId="5" r:id="rId10"/>
    <sheet name="Pipeline Closed" sheetId="6" r:id="rId11"/>
    <sheet name="Lead Tasks Active" sheetId="7" r:id="rId12"/>
    <sheet name="Lead Tasks Done" sheetId="8" r:id="rId13"/>
    <sheet name="Lead Process Library" sheetId="9" r:id="rId14"/>
    <sheet name="Pipeline Notes" sheetId="10" r:id="rId15"/>
    <sheet name="Needs Completed" sheetId="1" r:id="rId16"/>
    <sheet name="Completed" sheetId="2" r:id="rId17"/>
    <sheet name="Checklist Library" sheetId="3" r:id="rId18"/>
    <sheet name="Notes" sheetId="4" r:id="rId19"/>
    <sheet name="Deal Scorecard" sheetId="19" r:id="rId20"/>
    <sheet name="Financial Model" sheetId="20" r:id="rId21"/>
    <sheet name="Deal Active" sheetId="11" r:id="rId22"/>
    <sheet name="Deal Closed" sheetId="12" r:id="rId23"/>
    <sheet name="Deal Tasks Active" sheetId="13" r:id="rId24"/>
    <sheet name="Deal Tasks Done" sheetId="14" r:id="rId25"/>
    <sheet name="Deal Process Library" sheetId="15" r:id="rId26"/>
    <sheet name="Deal Notes" sheetId="16" r:id="rId27"/>
    <sheet name="M&amp;A Pipeline Active" sheetId="26" r:id="rId28"/>
    <sheet name="M&amp;A Pipeline Closed" sheetId="27" r:id="rId29"/>
    <sheet name="M&amp;A Tasks Active" sheetId="28" r:id="rId30"/>
    <sheet name="M&amp;A Tasks Done" sheetId="29" r:id="rId31"/>
    <sheet name="M&amp;A Process Library" sheetId="30" r:id="rId32"/>
    <sheet name="M&amp;A Scorecard" sheetId="31" r:id="rId33"/>
    <sheet name="M&amp;A Model" sheetId="32" r:id="rId34"/>
    <sheet name="M&amp;A Integration" sheetId="33" r:id="rId35"/>
    <sheet name="M&amp;A Notes" sheetId="34" r:id="rId36"/>
    <sheet name="RE Pipeline Active" sheetId="36" r:id="rId37"/>
    <sheet name="RE Pipeline Closed" sheetId="37" r:id="rId38"/>
    <sheet name="RE Tasks Active" sheetId="38" r:id="rId39"/>
    <sheet name="RE Tasks Done" sheetId="39" r:id="rId40"/>
    <sheet name="RE Process Library" sheetId="40" r:id="rId41"/>
    <sheet name="RE Underwrite" sheetId="41" r:id="rId42"/>
    <sheet name="RE Portfolio" sheetId="42" r:id="rId43"/>
    <sheet name="RE Notes" sheetId="43" r:id="rId44"/>
    <sheet name="Core Subsidiary Structure" sheetId="51" r:id="rId45"/>
    <sheet name="Subsidiary Operating System" sheetId="44" r:id="rId46"/>
    <sheet name="Recruit 619 Alignment" sheetId="52" r:id="rId47"/>
    <sheet name="Portfolio Handoff" sheetId="21" r:id="rId48"/>
    <sheet name="Portfolio Active" sheetId="22" r:id="rId49"/>
    <sheet name="Portfolio Roll-up" sheetId="49" r:id="rId50"/>
    <sheet name="Shared Services Operating Model" sheetId="46" r:id="rId51"/>
    <sheet name="Annual Audit Master Checklist" sheetId="47" r:id="rId52"/>
    <sheet name="Firm Operations" sheetId="45" r:id="rId53"/>
    <sheet name="Document Management &amp; Workflow" sheetId="50" r:id="rId5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7" i="18" l="1"/>
  <c r="C7" i="18"/>
  <c r="E7" i="18" s="1"/>
  <c r="D6" i="18"/>
  <c r="C6" i="18"/>
  <c r="E6" i="18" s="1"/>
  <c r="D5" i="18"/>
  <c r="C5" i="18"/>
  <c r="E5" i="18" s="1"/>
  <c r="E8" i="18" s="1"/>
  <c r="B4" i="18"/>
  <c r="F5" i="22"/>
  <c r="D5" i="22"/>
  <c r="B5" i="22"/>
  <c r="B27" i="18"/>
  <c r="B26" i="18"/>
  <c r="B25" i="18"/>
  <c r="B20" i="18"/>
  <c r="B19" i="18"/>
  <c r="B18" i="18"/>
  <c r="D18" i="18" s="1"/>
  <c r="D17" i="18"/>
  <c r="B17" i="18"/>
  <c r="D16" i="18"/>
  <c r="D15" i="18"/>
  <c r="B15" i="18"/>
  <c r="D14" i="18"/>
  <c r="B14" i="18"/>
  <c r="D13" i="18"/>
  <c r="B13" i="18"/>
  <c r="D12" i="18"/>
  <c r="B12" i="18"/>
  <c r="B85" i="18"/>
  <c r="B84" i="18"/>
  <c r="B83" i="18"/>
  <c r="B82" i="18"/>
  <c r="B81" i="18"/>
  <c r="B80" i="18"/>
  <c r="B77" i="18"/>
  <c r="B76" i="18"/>
  <c r="B75" i="18"/>
  <c r="B74" i="18"/>
  <c r="B73" i="18"/>
  <c r="B65" i="18"/>
  <c r="B64" i="18"/>
  <c r="B63" i="18"/>
  <c r="B62" i="18"/>
  <c r="B61" i="18"/>
  <c r="B60" i="18"/>
  <c r="B59" i="18"/>
  <c r="B58" i="18"/>
  <c r="B57" i="18"/>
  <c r="B56" i="18"/>
  <c r="B55" i="18"/>
  <c r="C50" i="18"/>
  <c r="B50" i="18"/>
  <c r="B49" i="18"/>
  <c r="C49" i="18" s="1"/>
  <c r="B48" i="18"/>
  <c r="B47" i="18"/>
  <c r="C47" i="18" s="1"/>
  <c r="B46" i="18"/>
  <c r="C46" i="18" s="1"/>
  <c r="B54" i="49"/>
  <c r="B60" i="49"/>
  <c r="B59" i="49"/>
  <c r="B58" i="49"/>
  <c r="B57" i="49"/>
  <c r="B56" i="49"/>
  <c r="B55" i="49"/>
  <c r="B53" i="49"/>
  <c r="B43" i="49"/>
  <c r="B42" i="49"/>
  <c r="B41" i="49"/>
  <c r="B40" i="49"/>
  <c r="B39" i="49"/>
  <c r="E25" i="49"/>
  <c r="E26" i="49"/>
  <c r="D26" i="49"/>
  <c r="C26" i="49"/>
  <c r="B26" i="49"/>
  <c r="N20" i="49"/>
  <c r="N19" i="49"/>
  <c r="N18" i="49"/>
  <c r="D25" i="49"/>
  <c r="C25" i="49"/>
  <c r="B25" i="49"/>
  <c r="G19" i="49"/>
  <c r="F19" i="49"/>
  <c r="E19" i="49"/>
  <c r="D19" i="49"/>
  <c r="C19" i="49"/>
  <c r="B19" i="49"/>
  <c r="G18" i="49"/>
  <c r="E18" i="49"/>
  <c r="G24" i="49"/>
  <c r="E24" i="49"/>
  <c r="G23" i="49"/>
  <c r="E23" i="49"/>
  <c r="G21" i="49"/>
  <c r="E21" i="49"/>
  <c r="G17" i="49"/>
  <c r="E17" i="49"/>
  <c r="C17" i="45"/>
  <c r="B17" i="45"/>
  <c r="F4" i="42"/>
  <c r="D4" i="42"/>
  <c r="B4" i="42"/>
  <c r="B4" i="39"/>
  <c r="B4" i="38"/>
  <c r="F4" i="37"/>
  <c r="D4" i="37"/>
  <c r="B4" i="37"/>
  <c r="H4" i="36"/>
  <c r="F4" i="36"/>
  <c r="D4" i="36"/>
  <c r="B4" i="36"/>
  <c r="E22" i="41"/>
  <c r="E20" i="41"/>
  <c r="E19" i="41"/>
  <c r="E18" i="41"/>
  <c r="E16" i="41"/>
  <c r="E15" i="41"/>
  <c r="E12" i="41"/>
  <c r="E11" i="41"/>
  <c r="E8" i="41"/>
  <c r="B18" i="41"/>
  <c r="B16" i="41"/>
  <c r="B15" i="41"/>
  <c r="B13" i="41"/>
  <c r="B11" i="41"/>
  <c r="B9" i="41"/>
  <c r="J7" i="42"/>
  <c r="B4" i="29"/>
  <c r="D4" i="28"/>
  <c r="B4" i="28"/>
  <c r="F4" i="27"/>
  <c r="D4" i="27"/>
  <c r="B4" i="27"/>
  <c r="F4" i="26"/>
  <c r="D4" i="26"/>
  <c r="B4" i="26"/>
  <c r="B44" i="32"/>
  <c r="B43" i="32"/>
  <c r="B42" i="32"/>
  <c r="B39" i="32"/>
  <c r="B38" i="32"/>
  <c r="B37" i="32"/>
  <c r="B35" i="32"/>
  <c r="B33" i="32"/>
  <c r="B32" i="32"/>
  <c r="B30" i="32"/>
  <c r="B25" i="32"/>
  <c r="B24" i="32"/>
  <c r="B18" i="32"/>
  <c r="B17" i="32"/>
  <c r="B16" i="32"/>
  <c r="B12" i="32"/>
  <c r="B10" i="32"/>
  <c r="B18" i="31"/>
  <c r="B17" i="31"/>
  <c r="E15" i="31"/>
  <c r="D15" i="31"/>
  <c r="B15" i="31"/>
  <c r="D14" i="31"/>
  <c r="D13" i="31"/>
  <c r="D12" i="31"/>
  <c r="D11" i="31"/>
  <c r="D10" i="31"/>
  <c r="D9" i="31"/>
  <c r="D8" i="31"/>
  <c r="B44" i="18"/>
  <c r="F4" i="22"/>
  <c r="B23" i="19"/>
  <c r="B22" i="19"/>
  <c r="E19" i="19"/>
  <c r="D19" i="19"/>
  <c r="B19" i="19"/>
  <c r="D18" i="19"/>
  <c r="D17" i="19"/>
  <c r="D16" i="19"/>
  <c r="D15" i="19"/>
  <c r="D14" i="19"/>
  <c r="D13" i="19"/>
  <c r="D12" i="19"/>
  <c r="C59" i="20"/>
  <c r="C58" i="20"/>
  <c r="C57" i="20"/>
  <c r="C56" i="20"/>
  <c r="C55" i="20"/>
  <c r="C54" i="20"/>
  <c r="F50" i="20"/>
  <c r="E50" i="20"/>
  <c r="D50" i="20"/>
  <c r="C50" i="20"/>
  <c r="B50" i="20"/>
  <c r="F49" i="20"/>
  <c r="E49" i="20"/>
  <c r="D49" i="20"/>
  <c r="C49" i="20"/>
  <c r="B49" i="20"/>
  <c r="F48" i="20"/>
  <c r="E48" i="20"/>
  <c r="D48" i="20"/>
  <c r="C48" i="20"/>
  <c r="B48" i="20"/>
  <c r="B44" i="20"/>
  <c r="B43" i="20"/>
  <c r="B42" i="20"/>
  <c r="B41" i="20"/>
  <c r="B39" i="20"/>
  <c r="B38" i="20"/>
  <c r="G33" i="20"/>
  <c r="F33" i="20"/>
  <c r="E33" i="20"/>
  <c r="D33" i="20"/>
  <c r="C33" i="20"/>
  <c r="B33" i="20"/>
  <c r="B28" i="20"/>
  <c r="B27" i="20"/>
  <c r="B22" i="20"/>
  <c r="B11" i="20"/>
  <c r="B10" i="20"/>
  <c r="B28" i="18"/>
  <c r="D9" i="18"/>
  <c r="B9" i="18"/>
  <c r="B4" i="14"/>
  <c r="F4" i="13"/>
  <c r="D4" i="13"/>
  <c r="B4" i="13"/>
  <c r="F4" i="12"/>
  <c r="D4" i="12"/>
  <c r="B4" i="12"/>
  <c r="H5" i="11"/>
  <c r="F5" i="11"/>
  <c r="D5" i="11"/>
  <c r="B5" i="11"/>
  <c r="B4" i="8"/>
  <c r="F4" i="7"/>
  <c r="D4" i="7"/>
  <c r="B4" i="7"/>
  <c r="F4" i="6"/>
  <c r="D4" i="6"/>
  <c r="B4" i="6"/>
  <c r="H5" i="5"/>
  <c r="F5" i="5"/>
  <c r="D5" i="5"/>
  <c r="B5" i="5"/>
  <c r="D4" i="2" a="1"/>
  <c r="D4" i="2"/>
  <c r="B4" i="2"/>
  <c r="H5" i="1" a="1"/>
  <c r="H5" i="1"/>
  <c r="F5" i="1"/>
  <c r="D5" i="1"/>
  <c r="B5" i="1"/>
  <c r="B51" i="18" l="1"/>
  <c r="C48" i="18"/>
  <c r="B23" i="18"/>
  <c r="F22" i="49"/>
  <c r="F20" i="49"/>
  <c r="G22" i="49"/>
  <c r="G20" i="49"/>
  <c r="E22" i="49"/>
  <c r="E20" i="49"/>
  <c r="D22" i="49"/>
  <c r="D20" i="49"/>
  <c r="C22" i="49"/>
  <c r="C20" i="49"/>
  <c r="B22" i="49"/>
  <c r="B20" i="49"/>
  <c r="B69" i="18" l="1"/>
  <c r="C69" i="18" s="1"/>
  <c r="D51" i="18"/>
  <c r="C51" i="1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<sst xmlns="http://schemas.openxmlformats.org/spreadsheetml/2006/main" count="5861" uniqueCount="3810">
  <si>
    <t>Tage VC — How We Run</t>
  </si>
  <si>
    <t>Operating home · Deal Flow · Portfolio/Subs · Firm + SS · Portal: Architecture → Spec → Cursor Brief · Brand: Brand &amp; Styling Guide · AI tickets: SS Model §7</t>
  </si>
  <si>
    <t>⚠ DATA FRESHNESS (FIRM STANDARD)</t>
  </si>
  <si>
    <t>BD10 close → BD10–12 pack + Roll-up (Period B13) → BD15 Portfolio Active CORE $ + Health → Command Center must read FRESH. Same period everywhere. STALE = no firm review until Active $ = Roll-up E.</t>
  </si>
  <si>
    <t>1 · PICK THE TRACK</t>
  </si>
  <si>
    <t>Situation</t>
  </si>
  <si>
    <t>Track</t>
  </si>
  <si>
    <t>Start here</t>
  </si>
  <si>
    <t>End state</t>
  </si>
  <si>
    <t>Startup / growth equity check</t>
  </si>
  <si>
    <t>VC Invest</t>
  </si>
  <si>
    <t>Pipeline Active</t>
  </si>
  <si>
    <t>Wired → Portfolio (investor)</t>
  </si>
  <si>
    <t>Build something new with us</t>
  </si>
  <si>
    <t>VC · Launch path</t>
  </si>
  <si>
    <t>Pipeline (Path=Launch)</t>
  </si>
  <si>
    <t>Same + heavy operator support</t>
  </si>
  <si>
    <t>Buy / merge / roll-up control</t>
  </si>
  <si>
    <t>M&amp;A Buy</t>
  </si>
  <si>
    <t>M&amp;A Pipeline Active</t>
  </si>
  <si>
    <t>Acquired → Integration → Portfolio</t>
  </si>
  <si>
    <t>Real estate asset (resi or CRE)</t>
  </si>
  <si>
    <t>RE Buy</t>
  </si>
  <si>
    <t>RE Pipeline Active</t>
  </si>
  <si>
    <t>Purchased → RE Portfolio</t>
  </si>
  <si>
    <t>2 · WEEKLY RHYTHM</t>
  </si>
  <si>
    <t>When</t>
  </si>
  <si>
    <t>Ritual</t>
  </si>
  <si>
    <t>Owner</t>
  </si>
  <si>
    <t>Sheet</t>
  </si>
  <si>
    <t>Outcome</t>
  </si>
  <si>
    <t>Mon</t>
  </si>
  <si>
    <t>Triage inbound + next actions</t>
  </si>
  <si>
    <t>Associate</t>
  </si>
  <si>
    <t>Pipeline / M&amp;A Pipeline</t>
  </si>
  <si>
    <t>No blank Next Action dates</t>
  </si>
  <si>
    <t>Tue / Thu</t>
  </si>
  <si>
    <t>DD + deal blockers standup</t>
  </si>
  <si>
    <t>Partner</t>
  </si>
  <si>
    <t>Needs Completed / Deal or M&amp;A Tasks</t>
  </si>
  <si>
    <t>Unblock or escalate</t>
  </si>
  <si>
    <t>Wed</t>
  </si>
  <si>
    <t>IC / terms / LOI review</t>
  </si>
  <si>
    <t>Partners</t>
  </si>
  <si>
    <t>Scorecard + Model (+ M&amp;A twins)</t>
  </si>
  <si>
    <t>Go / conditions / pass</t>
  </si>
  <si>
    <t>Fri</t>
  </si>
  <si>
    <t>Command Center pulse</t>
  </si>
  <si>
    <t>Command Center</t>
  </si>
  <si>
    <t>Funnel health + $ in flight</t>
  </si>
  <si>
    <t>Biweekly</t>
  </si>
  <si>
    <t>Portfolio ops review</t>
  </si>
  <si>
    <t>COO</t>
  </si>
  <si>
    <t>Portfolio Active</t>
  </si>
  <si>
    <t>Health, risks, asks</t>
  </si>
  <si>
    <t>As needed</t>
  </si>
  <si>
    <t>Closing war room</t>
  </si>
  <si>
    <t>Counsel + Ops</t>
  </si>
  <si>
    <t>Deal or M&amp;A Tasks</t>
  </si>
  <si>
    <t>CPs → wire / acquire</t>
  </si>
  <si>
    <t>Mon (RE)</t>
  </si>
  <si>
    <t>RE pipeline scrub by Route + sourcer</t>
  </si>
  <si>
    <t>RE Sourcer / Partner</t>
  </si>
  <si>
    <t>Stale deals cleared</t>
  </si>
  <si>
    <t>3 · DEAL FLOW (HAPPY PATH)</t>
  </si>
  <si>
    <t>Source → Screen → Call → Partner → DD + Score + Model → IC → TS → Docs → Wire → Handoff → Portfolio</t>
  </si>
  <si>
    <t>Source → CIM → Mgmt → IOI → LOI → QoE/DD → Score + Model → SPA → Close → Integration → Portfolio</t>
  </si>
  <si>
    <t>Source → Screen → Underwrite (Resi or CRE) → Offer → PSA → Diligence → Close → RE Portfolio</t>
  </si>
  <si>
    <t>4 · ROLES</t>
  </si>
  <si>
    <t>Role</t>
  </si>
  <si>
    <t>Owns</t>
  </si>
  <si>
    <t>Does not auto-decide</t>
  </si>
  <si>
    <t>Intake, research, tasks, memos, data room</t>
  </si>
  <si>
    <t>Pass tone; IC vote</t>
  </si>
  <si>
    <t>Thesis fit, IC, terms/LOI, board</t>
  </si>
  <si>
    <t>— (final call on capital)</t>
  </si>
  <si>
    <t>Counsel / Ops</t>
  </si>
  <si>
    <t>Docs, CPs, wire, archive</t>
  </si>
  <si>
    <t>Commercial terms alone</t>
  </si>
  <si>
    <t>Subsidiary COO</t>
  </si>
  <si>
    <t>Post-close growth, KPIs, integration</t>
  </si>
  <si>
    <t>New buys without IC</t>
  </si>
  <si>
    <t>RE Sourcer (Resi / CRE)</t>
  </si>
  <si>
    <t>Find assets, underwrite, offer, diligence</t>
  </si>
  <si>
    <t>Capital commit without Partner</t>
  </si>
  <si>
    <t>5 · GOLDEN RULES</t>
  </si>
  <si>
    <t>1. One canonical Company name on every sheet (join key).</t>
  </si>
  <si>
    <t>2. Every active row has Owner + Next Action + date — no zombies.</t>
  </si>
  <si>
    <t>3. Libraries spawn work; humans score, negotiate, and wire.</t>
  </si>
  <si>
    <t>4. Complete → archive (never delete history).</t>
  </si>
  <si>
    <t>5. Blue = inputs. Black = formulas. Command Center = firm pulse.</t>
  </si>
  <si>
    <t>6. VC check ≠ buy the company — pick the track on day one.</t>
  </si>
  <si>
    <t>7. Business deals ≠ RE deals — separate pipelines and sourcers.</t>
  </si>
  <si>
    <t>6 · WHERE TO CLICK</t>
  </si>
  <si>
    <t>Need…</t>
  </si>
  <si>
    <t>Go to…</t>
  </si>
  <si>
    <t>Firm pulse</t>
  </si>
  <si>
    <t>Map / colors / tracks</t>
  </si>
  <si>
    <t>Process Map</t>
  </si>
  <si>
    <t>New startup lead</t>
  </si>
  <si>
    <t>Pipeline Active → Lead Process Library</t>
  </si>
  <si>
    <t>New acquisition target</t>
  </si>
  <si>
    <t>M&amp;A Pipeline Active → M&amp;A Process Library</t>
  </si>
  <si>
    <t>IC package</t>
  </si>
  <si>
    <t>Scorecard + Financial Model (or M&amp;A twins)</t>
  </si>
  <si>
    <t>Closing a check</t>
  </si>
  <si>
    <t>Deal Active / Deal Tasks</t>
  </si>
  <si>
    <t>Closing a buy</t>
  </si>
  <si>
    <t>M&amp;A Tasks → M&amp;A Integration</t>
  </si>
  <si>
    <t>Hand to operators</t>
  </si>
  <si>
    <t>Portfolio Handoff → Portfolio Active</t>
  </si>
  <si>
    <t>Build the portal</t>
  </si>
  <si>
    <t>Cursor Brief + Data Dictionary + Platform Spec</t>
  </si>
  <si>
    <t>New RE deal (resi/CRE)</t>
  </si>
  <si>
    <t>RE Pipeline Active → RE Process Library → RE Underwrite</t>
  </si>
  <si>
    <t>Print / PDF this tab as the wall chart. Detail lives in the colored phase tabs.</t>
  </si>
  <si>
    <t>Deep ops: Subsidiary Operating System · Firm Operations (end of workbook)</t>
  </si>
  <si>
    <t>THREE-LAYER MODEL</t>
  </si>
  <si>
    <t>Layer</t>
  </si>
  <si>
    <t>What it is</t>
  </si>
  <si>
    <t>Primary tabs</t>
  </si>
  <si>
    <t>1 · Deal Flow</t>
  </si>
  <si>
    <t>Source → diligence → close (VC / M&amp;A / RE)</t>
  </si>
  <si>
    <t>Partners + Sourcers</t>
  </si>
  <si>
    <t>Pipelines, libraries, scorecards, Command Center</t>
  </si>
  <si>
    <t>2 · Subsidiary Ops</t>
  </si>
  <si>
    <t>Post-handoff growth, KPIs, audits, Shared Svcs use</t>
  </si>
  <si>
    <t>COO of Subsidiaries</t>
  </si>
  <si>
    <t>Subsidiary Operating System · Portfolio Handoff · Portfolio Active</t>
  </si>
  <si>
    <t>3 · Firm Ops</t>
  </si>
  <si>
    <t>Capital allocation, Shared Services, governance, compliance</t>
  </si>
  <si>
    <t>Visionary (+ COO on SS)</t>
  </si>
  <si>
    <t>Firm Operations · How We Run · Command Center</t>
  </si>
  <si>
    <t>Hand-off between layers: Wire/Acquire/Purchase → Portfolio Handoff → Portfolio Active → Subsidiary OS rhythm. Capital &amp; SS live in Firm Operations.</t>
  </si>
  <si>
    <t>Shared Services: Shared Services Operating Model (cadences + Intuit/QBE automation). Audits: Annual Audit Master Checklist.</t>
  </si>
  <si>
    <t>Firm layer deep dive: Firm Operations. Sub layer deep dive: Subsidiary Operating System.</t>
  </si>
  <si>
    <t>DATA &amp; DOCS</t>
  </si>
  <si>
    <t>Entities: Entity Master (ENT-*). P&amp;L/KPI roll-up: Portfolio Roll-up. Docs/DocuSign: Document Management &amp; Workflow.</t>
  </si>
  <si>
    <t>Shared Services cadences: Shared Services Operating Model (QBE automation). Annual audits: Annual Audit Master Checklist.</t>
  </si>
  <si>
    <t>Data model detail: Data Dictionary. Portal build: Cursor Brief + Platform Spec.</t>
  </si>
  <si>
    <t>SUBSIDIARY STANDARD</t>
  </si>
  <si>
    <t>Official standard: Core Subsidiary Structure (§1–11). CORE = required P&amp;L, KPIs, rhythm, health, SS, handoff, roll-ups. FLEX = industry add-ons only.</t>
  </si>
  <si>
    <t>COO enforces on Portfolio Active. Roll-up math: Portfolio Roll-up. Ops playbook: Subsidiary Operating System. Exceptions to CORE: Visionary.</t>
  </si>
  <si>
    <t>Non-negotiable health enums: On Track | Watch | At Risk | Critical — definitions on Core Subsidiary Structure §12.</t>
  </si>
  <si>
    <t>Recruit 619: brand + KPI bridge on Recruit 619 Alignment tab (canonical name Recruit 619 only).</t>
  </si>
  <si>
    <t>Brand look: Brand &amp; Styling Guide. KPI roll-ups: Core Subsidiary Structure §3 + Portfolio Roll-up §B–E.</t>
  </si>
  <si>
    <t>WORKBOOK MAP (TAB GROUPS)</t>
  </si>
  <si>
    <t>Group</t>
  </si>
  <si>
    <t>Tabs (left → right)</t>
  </si>
  <si>
    <t>Color cue</t>
  </si>
  <si>
    <t>How We Run · Brand &amp; Styling Guide · Process Map · Command Center</t>
  </si>
  <si>
    <t>Slate / stone</t>
  </si>
  <si>
    <t>Portal build</t>
  </si>
  <si>
    <t>Portal Architecture · Platform Spec · Cursor Brief · Data Dictionary · Entity Master</t>
  </si>
  <si>
    <t>Slate</t>
  </si>
  <si>
    <t>VC Deal Flow</t>
  </si>
  <si>
    <t>Pipeline · Lead Tasks · DD · Scorecard · Financial Model · Deal desk</t>
  </si>
  <si>
    <t>Slate + taupe + cool slate</t>
  </si>
  <si>
    <t>M&amp;A Deal Flow</t>
  </si>
  <si>
    <t>M&amp;A Pipeline · Tasks · Scorecard · Model · Integration</t>
  </si>
  <si>
    <t>Steel gray</t>
  </si>
  <si>
    <t>RE Deal Flow</t>
  </si>
  <si>
    <t>RE Pipeline · Tasks · Underwrite · RE Portfolio</t>
  </si>
  <si>
    <t>Brown</t>
  </si>
  <si>
    <t>Portfolio / Subs</t>
  </si>
  <si>
    <t>Core Subsidiary Structure · Sub OS · Recruit 619 Alignment · Handoff · Portfolio Active · Portfolio Roll-up</t>
  </si>
  <si>
    <t>Sage</t>
  </si>
  <si>
    <t>Firm + SS</t>
  </si>
  <si>
    <t>Shared Services Operating Model · Annual Audit · Firm Operations · Document Management</t>
  </si>
  <si>
    <t>Sage / slate</t>
  </si>
  <si>
    <t>Closed/logs</t>
  </si>
  <si>
    <t>All *Closed and *Done tabs</t>
  </si>
  <si>
    <t>Green</t>
  </si>
  <si>
    <t>Naming standards: Recruit 619 (not 619 Recruiting). Health: On Track | Watch | At Risk | Critical. Blue cells = inputs. Black = formulas.</t>
  </si>
  <si>
    <t>✓ Final polish · Layer tab colors · Green = logs · ⚠ DATA FRESHNESS · Blue inputs · Black formulas · Health enums · Recruit 619 · Grok+Cursor: SS §7</t>
  </si>
  <si>
    <t>AI tickets: Shared Services Operating Model §7 (Grok + Cursor Ticketing) · Portal Architecture §9 · Cursor Brief automation policy.</t>
  </si>
  <si>
    <t>Tage VC — Brand &amp; Styling Guide</t>
  </si>
  <si>
    <t>Visual standards for all Tage VC and subsidiary workbooks. Apply tab colors and header styles from this guide.</t>
  </si>
  <si>
    <t>START HERE ORDER</t>
  </si>
  <si>
    <t>1) How We Run  2) Brand &amp; Styling Guide  3) Command Center  4) Core Subsidiary Structure  5) Deal / M&amp;A / RE pipelines  6) Portfolio Roll-up  7) Firm + Shared Services</t>
  </si>
  <si>
    <t>Recruit 619 ops playbook must match this palette and Recruit 619 Alignment KPI names.</t>
  </si>
  <si>
    <t>Tage VC — Process Map | End-to-End Operating System</t>
  </si>
  <si>
    <t>Orientation map. Start: How We Run. Build: Portal Architecture. Standards: Core Subsidiary Structure · Brand &amp; Styling Guide.</t>
  </si>
  <si>
    <t>Phase</t>
  </si>
  <si>
    <t>Tab color</t>
  </si>
  <si>
    <t>Order</t>
  </si>
  <si>
    <t>What happens</t>
  </si>
  <si>
    <t>Sheets in this phase</t>
  </si>
  <si>
    <t>Exit to next phase when…</t>
  </si>
  <si>
    <t>0 · Map</t>
  </si>
  <si>
    <t>Warm stone</t>
  </si>
  <si>
    <t>First</t>
  </si>
  <si>
    <t>Orientation — how the workbook fits together</t>
  </si>
  <si>
    <t>—</t>
  </si>
  <si>
    <t>1 · Source &amp; Evaluate</t>
  </si>
  <si>
    <t>Slate (brand primary)</t>
  </si>
  <si>
    <t>1st</t>
  </si>
  <si>
    <t>Find leads, screen thesis, first calls, partner meeting</t>
  </si>
  <si>
    <t>Pipeline Active, Closed, Lead Tasks, Lead Library, Pipeline Notes</t>
  </si>
  <si>
    <t>Outcome = Advanced to DD (partner approved full DD)</t>
  </si>
  <si>
    <t>2 · Due Diligence</t>
  </si>
  <si>
    <t>Taupe accent</t>
  </si>
  <si>
    <t>2nd</t>
  </si>
  <si>
    <t>Full DD checklist across team, market, product, financials, legal…</t>
  </si>
  <si>
    <t>Needs Completed, Completed, Checklist Library, Notes</t>
  </si>
  <si>
    <t>Critical DD done (or waived) + ready for IC</t>
  </si>
  <si>
    <t>3 · Execute &amp; Close</t>
  </si>
  <si>
    <t>Cool slate</t>
  </si>
  <si>
    <t>3rd</t>
  </si>
  <si>
    <t>IC → term sheet → confirmatory DD → docs → wire → post-close</t>
  </si>
  <si>
    <t>Deal Active, Closed, Deal Tasks, Deal Library, Deal Notes</t>
  </si>
  <si>
    <t>Outcome = Wired / Closed (portfolio handoff)</t>
  </si>
  <si>
    <t>End-to-end flow</t>
  </si>
  <si>
    <t>Step</t>
  </si>
  <si>
    <t>Action</t>
  </si>
  <si>
    <t>Primary sheet</t>
  </si>
  <si>
    <t>ID pattern</t>
  </si>
  <si>
    <t>Log lead + source</t>
  </si>
  <si>
    <t>LD-###</t>
  </si>
  <si>
    <t>Screen → call → partner → Ready for DD</t>
  </si>
  <si>
    <t>Lead Tasks + Pipeline</t>
  </si>
  <si>
    <t>LT-###</t>
  </si>
  <si>
    <t>Close pipeline as Advanced to DD</t>
  </si>
  <si>
    <t>Pipeline Closed</t>
  </si>
  <si>
    <t>Spawn DD checklist for same Company</t>
  </si>
  <si>
    <t>Needs Completed</t>
  </si>
  <si>
    <t>DD-###</t>
  </si>
  <si>
    <t>Complete DD; archive tasks</t>
  </si>
  <si>
    <t>Completed</t>
  </si>
  <si>
    <t>IC approval</t>
  </si>
  <si>
    <t>Deal Active (new)</t>
  </si>
  <si>
    <t>DE-###</t>
  </si>
  <si>
    <t>Term sheet negotiate + sign</t>
  </si>
  <si>
    <t>Deal Tasks Active</t>
  </si>
  <si>
    <t>DT-###</t>
  </si>
  <si>
    <t>Docs + closing conditions + wire</t>
  </si>
  <si>
    <t>Deal Active / Tasks</t>
  </si>
  <si>
    <t>Close deal; post-close portfolio</t>
  </si>
  <si>
    <t>Deal Closed</t>
  </si>
  <si>
    <t>How to read tab colors</t>
  </si>
  <si>
    <t>Slate = source. Taupe = DD. Cool slate = close. Brand neutrals from site OG/screenshot palette.</t>
  </si>
  <si>
    <t>Golden rule</t>
  </si>
  <si>
    <t>One Company name everywhere: Pipeline = DD Entity = Deal Company (join key).</t>
  </si>
  <si>
    <t>Brand palette (site)</t>
  </si>
  <si>
    <t>#3A414F</t>
  </si>
  <si>
    <t>Primary slate — Source tabs + main UI dark</t>
  </si>
  <si>
    <t>#9F957C</t>
  </si>
  <si>
    <t>Taupe accent — DD tabs</t>
  </si>
  <si>
    <t>#535C63</t>
  </si>
  <si>
    <t>Cool slate — Execute/Close tabs</t>
  </si>
  <si>
    <t>#7C7871</t>
  </si>
  <si>
    <t>Warm stone — Process Map</t>
  </si>
  <si>
    <t>#ECE9E6</t>
  </si>
  <si>
    <t>Warm sand — page background on site</t>
  </si>
  <si>
    <t>#D7D3C3</t>
  </si>
  <si>
    <t>Light sand — secondary surface</t>
  </si>
  <si>
    <t>SYSTEM LAYERS (new)</t>
  </si>
  <si>
    <t>Command Center — firm KPIs (slate tab near Map)</t>
  </si>
  <si>
    <t>Deal Scorecard + Financial Model — IC analytics (taupe with DD)</t>
  </si>
  <si>
    <t>Portfolio Handoff + Portfolio Active — COO ops (sage tabs)</t>
  </si>
  <si>
    <t>Data Dictionary + Platform Spec + Cursor Brief — build the portal (slate)</t>
  </si>
  <si>
    <t>Flow: Pipeline → Scorecard/Model → DD → Deal desk → Wire → Handoff → Portfolio → (app via Cursor Brief)</t>
  </si>
  <si>
    <t>TWO TRACKS</t>
  </si>
  <si>
    <t>A) VC INVEST (slate/taupe/cool) — startup or growth check → Deal desk → Portfolio as investor</t>
  </si>
  <si>
    <t>B) M&amp;A BUY (steel gray #4A5568) — platform/add-on/merger → LOI → QoE → close → Integration → Portfolio as operator</t>
  </si>
  <si>
    <t>M&amp;A sheets: M&amp;A Pipeline, Tasks, Library, Scorecard, Model, Integration, Notes</t>
  </si>
  <si>
    <t>M&amp;A stages: Sourced → CIM → Mgmt → IOI → LOI → DD → Docs → Closing → Integration</t>
  </si>
  <si>
    <t>THREE TRACKS (+ RE)</t>
  </si>
  <si>
    <t>A) VC Invest — business equity checks (slate/taupe/cool)</t>
  </si>
  <si>
    <t>B) M&amp;A Buy — company control (steel #4A5568)</t>
  </si>
  <si>
    <t>C) RE Buy — residential + commercial assets (brown #6B5B4F)</t>
  </si>
  <si>
    <t>RE people: RE Pipeline only · Route=Residential or Commercial · IDs RE-/RT-/PFRE-</t>
  </si>
  <si>
    <t>RE stages: Sourced → Screen → Underwriting → Offer → LOI/PSA → Diligence → Closing → Onboard</t>
  </si>
  <si>
    <t>Tage VC — Command Center | Firm Funnel · Capital · Portfolio Pulse</t>
  </si>
  <si>
    <t>Read-mostly. Health ← Portfolio Active · Money ← Portfolio Roll-up · Funnel ← pipelines. Fix STALE before firm review. Nav: How We Run.</t>
  </si>
  <si>
    <t>⚠ DATA FRESHNESS</t>
  </si>
  <si>
    <t>Roll-up Period</t>
  </si>
  <si>
    <t>Active Σ</t>
  </si>
  <si>
    <t>Roll-up E</t>
  </si>
  <si>
    <t>Status</t>
  </si>
  <si>
    <t>Calendar: BD10 close · BD10–12 pack · BD15 Active+Health</t>
  </si>
  <si>
    <t>← must match packs</t>
  </si>
  <si>
    <t>Finance sets period</t>
  </si>
  <si>
    <t>COO Health on Active only</t>
  </si>
  <si>
    <t>ARR ($k)</t>
  </si>
  <si>
    <t>must match →</t>
  </si>
  <si>
    <t>Net Burn ($k)</t>
  </si>
  <si>
    <t>Cash ($k)</t>
  </si>
  <si>
    <t>OVERALL</t>
  </si>
  <si>
    <t>Health only on Portfolio Active (COO by BD15)</t>
  </si>
  <si>
    <t>Blocked DD tasks</t>
  </si>
  <si>
    <t>FUNNEL SNAPSHOT</t>
  </si>
  <si>
    <t>Metric</t>
  </si>
  <si>
    <t>Count</t>
  </si>
  <si>
    <t>Target</t>
  </si>
  <si>
    <t>Active leads (pipeline)</t>
  </si>
  <si>
    <t>Ready for DD</t>
  </si>
  <si>
    <t>Open DD tasks</t>
  </si>
  <si>
    <t>Active deals (TS→Close)</t>
  </si>
  <si>
    <t>Deals in closing band</t>
  </si>
  <si>
    <t>Closed wins (log)</t>
  </si>
  <si>
    <t>Pipeline passes (log)</t>
  </si>
  <si>
    <t>Advanced to DD (log)</t>
  </si>
  <si>
    <t>CONVERSION &amp; QUALITY</t>
  </si>
  <si>
    <t>Value</t>
  </si>
  <si>
    <t>Notes</t>
  </si>
  <si>
    <t>Screen→DD conversion (closed)</t>
  </si>
  <si>
    <t>Advanced / (Advanced + Pass) from closed log</t>
  </si>
  <si>
    <t>Strong-fit share of active pipeline</t>
  </si>
  <si>
    <t>Quality of top of funnel</t>
  </si>
  <si>
    <t>Critical open DD items</t>
  </si>
  <si>
    <t>Must clear before IC</t>
  </si>
  <si>
    <t>Open lead eval tasks</t>
  </si>
  <si>
    <t>Pre-DD work in flight</t>
  </si>
  <si>
    <t>Open deal exec tasks</t>
  </si>
  <si>
    <t>TS→close work in flight</t>
  </si>
  <si>
    <t>Closed wired check size ($k)</t>
  </si>
  <si>
    <t>OPERATING CADENCE</t>
  </si>
  <si>
    <t>Cadence</t>
  </si>
  <si>
    <t>Inbound triage + source ROI</t>
  </si>
  <si>
    <t>Daily / Weekly</t>
  </si>
  <si>
    <t>Pipeline Active / Closed</t>
  </si>
  <si>
    <t>DD standup (blockers)</t>
  </si>
  <si>
    <t>2x week</t>
  </si>
  <si>
    <t>IC + term sheet review</t>
  </si>
  <si>
    <t>Weekly</t>
  </si>
  <si>
    <t>Deal Scorecard + Deal Active</t>
  </si>
  <si>
    <t>HOW TO USE THIS SYSTEM</t>
  </si>
  <si>
    <t>1. Source in Pipeline → score in Deal Scorecard when serious → DD tasks + Financial Model → IC → Deal Active → wire → Portfolio Handoff.</t>
  </si>
  <si>
    <t>2. One Company name everywhere. IDs: LD- / LT- / DD- / DE- / DT- / PH- / PF-.</t>
  </si>
  <si>
    <t>3. Blue cells = targets and model inputs. Black = formulas. Command Center is read-mostly.</t>
  </si>
  <si>
    <t>4. Platform build: see Platform Spec + Cursor Brief + Data Dictionary.</t>
  </si>
  <si>
    <t>PORTFOLIO HEALTH PULSE</t>
  </si>
  <si>
    <t>Source: Portfolio Active Health (live COUNTIF). Money block below pulls Portfolio Roll-up. If Active sums ≠ Roll-up $ → pack not synced — fix before firm review.</t>
  </si>
  <si>
    <t>Health status</t>
  </si>
  <si>
    <t>% of portfolio</t>
  </si>
  <si>
    <t>Action cue</t>
  </si>
  <si>
    <t>Source</t>
  </si>
  <si>
    <t>On Track</t>
  </si>
  <si>
    <t>Standard monthly pack</t>
  </si>
  <si>
    <t>Watch</t>
  </si>
  <si>
    <t>Mitigation + Top Risk required</t>
  </si>
  <si>
    <t>At Risk</t>
  </si>
  <si>
    <t>Recovery plan ≤10 bd · Partner</t>
  </si>
  <si>
    <t>Critical</t>
  </si>
  <si>
    <t>War room 48h · Visionary</t>
  </si>
  <si>
    <t>Active portfolio companies</t>
  </si>
  <si>
    <t>Must match Entity Master Active subs</t>
  </si>
  <si>
    <t>Attention required (At Risk + Critical)</t>
  </si>
  <si>
    <t>Derived</t>
  </si>
  <si>
    <t>PORTFOLIO FINANCIALS (FROM ROLL-UP)</t>
  </si>
  <si>
    <t>Source cell</t>
  </si>
  <si>
    <t>Portfolio Revenue / ARR ($k)</t>
  </si>
  <si>
    <t>SUM of subsidiaries (not Firm)</t>
  </si>
  <si>
    <t>Portfolio Roll-up!E17</t>
  </si>
  <si>
    <t>Portfolio Gross Margin %</t>
  </si>
  <si>
    <t>WEIGHTED = ΣGP/ΣRev</t>
  </si>
  <si>
    <t>Portfolio Roll-up!E20</t>
  </si>
  <si>
    <t>Portfolio Net Burn ($k)</t>
  </si>
  <si>
    <t>SUM of sub burn</t>
  </si>
  <si>
    <t>Portfolio Roll-up!E23</t>
  </si>
  <si>
    <t>Portfolio Cash ($k)</t>
  </si>
  <si>
    <t>SUM of sub cash</t>
  </si>
  <si>
    <t>Portfolio Roll-up!E24</t>
  </si>
  <si>
    <t>Firm-only Cash ($k)</t>
  </si>
  <si>
    <t>Tage mgmt treasury (col F)</t>
  </si>
  <si>
    <t>Portfolio Roll-up!F24</t>
  </si>
  <si>
    <t>Consolidated Cash ($k)</t>
  </si>
  <si>
    <t>Portfolio + Firm</t>
  </si>
  <si>
    <t>Portfolio Roll-up!G24</t>
  </si>
  <si>
    <t>Min runway (burning subs, mo)</t>
  </si>
  <si>
    <t>MIN of numeric runways; n/a if none burning</t>
  </si>
  <si>
    <t>Portfolio Roll-up!E25</t>
  </si>
  <si>
    <t>Runway breach any sub (&lt;12)?</t>
  </si>
  <si>
    <t>ok or REVIEW</t>
  </si>
  <si>
    <t>Portfolio Roll-up!E26</t>
  </si>
  <si>
    <t>Total portfolio ARR from Active ($k)</t>
  </si>
  <si>
    <t>Should align with Roll-up Revenue when packs current</t>
  </si>
  <si>
    <t>TablePortfolio[ARR ($k)]</t>
  </si>
  <si>
    <t>Total portfolio Net Burn from Active ($k)</t>
  </si>
  <si>
    <t>Ops UI sum — reconcile to Roll-up E23</t>
  </si>
  <si>
    <t>TablePortfolio[Net Burn ($k)]</t>
  </si>
  <si>
    <t>Total portfolio Cash from Active ($k)</t>
  </si>
  <si>
    <t>Ops UI sum — reconcile to Roll-up E24</t>
  </si>
  <si>
    <t>TablePortfolio[Cash ($k)]</t>
  </si>
  <si>
    <t>PORTFOLIO ATTENTION LIST</t>
  </si>
  <si>
    <t>Open Portfolio Active and filter Health = At Risk or Critical. Top Risk column is the narrative. This count drives escalation:</t>
  </si>
  <si>
    <t>Attention count</t>
  </si>
  <si>
    <t>DATA FRESHNESS CHECK: (1) Same period on Roll-up B13 and packs. (2) Active ARR/Burn/Cash totals should equal Roll-up E17/E23/E24. (3) Health only on Active — Command Center only counts it. (4) Stale if Active Last Update older than current pack month.</t>
  </si>
  <si>
    <t>M&amp;A TRACK</t>
  </si>
  <si>
    <t>Active M&amp;A targets</t>
  </si>
  <si>
    <t>Buy/merge/roll-up pipeline</t>
  </si>
  <si>
    <t>In LOI / exclusivity</t>
  </si>
  <si>
    <t>Clock running</t>
  </si>
  <si>
    <t>Open M&amp;A tasks</t>
  </si>
  <si>
    <t>Acquisition work in flight</t>
  </si>
  <si>
    <t>Acquired (log)</t>
  </si>
  <si>
    <t>Closed buys</t>
  </si>
  <si>
    <t>Walked (log)</t>
  </si>
  <si>
    <t>Passed after work</t>
  </si>
  <si>
    <t>REAL ESTATE TRACK</t>
  </si>
  <si>
    <t>Active RE deals</t>
  </si>
  <si>
    <t>Resi + CRE pipeline</t>
  </si>
  <si>
    <t>Residential active</t>
  </si>
  <si>
    <t>Resi sourcer book</t>
  </si>
  <si>
    <t>Commercial active</t>
  </si>
  <si>
    <t>CRE sourcer book</t>
  </si>
  <si>
    <t>Under contract band</t>
  </si>
  <si>
    <t>PSA through close</t>
  </si>
  <si>
    <t>Owned RE assets</t>
  </si>
  <si>
    <t>RE Portfolio count</t>
  </si>
  <si>
    <t>RE purchased (log)</t>
  </si>
  <si>
    <t>LINKS</t>
  </si>
  <si>
    <t>Portfolio health detail: Portfolio Active · Financial proof: Portfolio Roll-up · Standards: Core Subsidiary Structure §3/§6 · Nav: How We Run</t>
  </si>
  <si>
    <t>Tage VC — Portal Architecture</t>
  </si>
  <si>
    <t>High-level build reference from the Excel OS. Detail: Platform Spec · Cursor Brief · Data Dictionary · Core Subsidiary Structure · Portfolio Roll-up.</t>
  </si>
  <si>
    <t>1 · OVERALL ARCHITECTURE</t>
  </si>
  <si>
    <t>Responsibility</t>
  </si>
  <si>
    <t>Frontend</t>
  </si>
  <si>
    <t>Role-based UI: Command Center, deal boards (VC/M&amp;A/RE), entity/portfolio pages, SS tickets, docs</t>
  </si>
  <si>
    <t>Next.js + Brand &amp; Styling Guide</t>
  </si>
  <si>
    <t>Backend / API</t>
  </si>
  <si>
    <t>Auth, RBAC, CRUD, workflows, roll-up jobs, webhooks, audit log</t>
  </si>
  <si>
    <t>Enforce enums + CORE/FLEX server-side</t>
  </si>
  <si>
    <t>Database</t>
  </si>
  <si>
    <t>Postgres: entities, deals, tasks, pnl, kpi, docs, tickets</t>
  </si>
  <si>
    <t>Seed from Excel tables</t>
  </si>
  <si>
    <t>Integrations</t>
  </si>
  <si>
    <t>QBE/Intuit, DocuSign, object storage, email/calendar, tickets</t>
  </si>
  <si>
    <t>Human gates on wire + capital DocuSign send</t>
  </si>
  <si>
    <t>Jobs / agents</t>
  </si>
  <si>
    <t>Monthly roll-up, SLA clocks, stale leads, draft memos</t>
  </si>
  <si>
    <t>Agents draft only — no silent capital actions</t>
  </si>
  <si>
    <t>End-to-end data flow</t>
  </si>
  <si>
    <t>Inbound → Deal track (VC / M&amp;A / RE) → tasks from libraries → IC/close → issue ENT-* → Handoff → Portfolio Active → QBE monthly pack → entity_month_pnl/kpi → Portfolio Roll-up (SUM/WEIGHTED/MIN/FLAG/COUNT) → Command Center / Firm review. Docs attach at process steps; SS tickets run in parallel.</t>
  </si>
  <si>
    <t>2 · CORE MODULES &amp; NAVIGATION</t>
  </si>
  <si>
    <t>Nav area</t>
  </si>
  <si>
    <t>What users open</t>
  </si>
  <si>
    <t>Excel counterpart</t>
  </si>
  <si>
    <t>Home</t>
  </si>
  <si>
    <t>Command Center — funnel, portfolio health COUNT, capital pulse</t>
  </si>
  <si>
    <t>Command Center · Portfolio Roll-up §C–D</t>
  </si>
  <si>
    <t>Deal Flow · VC</t>
  </si>
  <si>
    <t>Pipeline, Lead Tasks, DD, Scorecard, Fin Model, Deal Desk</t>
  </si>
  <si>
    <t>Pipeline* · Lead Tasks* · Needs Completed* · Scorecard · Financial Model · Deal*</t>
  </si>
  <si>
    <t>Deal Flow · M&amp;A</t>
  </si>
  <si>
    <t>Targets, tasks, scorecard, model, integration</t>
  </si>
  <si>
    <t>M&amp;A* tabs</t>
  </si>
  <si>
    <t>Deal Flow · RE</t>
  </si>
  <si>
    <t>Resi/CRE pipeline, underwrite, PSA path, RE portfolio</t>
  </si>
  <si>
    <t>RE* tabs</t>
  </si>
  <si>
    <t>Portfolio</t>
  </si>
  <si>
    <t>Portfolio Active, Handoff, Roll-up, entity detail, Core Standard</t>
  </si>
  <si>
    <t>Portfolio* · Entity Master · Core Subsidiary Structure</t>
  </si>
  <si>
    <t>Shared Services</t>
  </si>
  <si>
    <t>Tickets by service, SLAs, close calendar, audits</t>
  </si>
  <si>
    <t>SS Operating Model · Annual Audit Master</t>
  </si>
  <si>
    <t>Firm</t>
  </si>
  <si>
    <t>Capital allocation, firm rhythm, governance</t>
  </si>
  <si>
    <t>Firm Operations · How We Run</t>
  </si>
  <si>
    <t>Documents</t>
  </si>
  <si>
    <t>Library by entity_id, templates, DocuSign status</t>
  </si>
  <si>
    <t>Document Management &amp; Workflow</t>
  </si>
  <si>
    <t>Admin</t>
  </si>
  <si>
    <t>Users, roles, enums, task templates</t>
  </si>
  <si>
    <t>Data Dictionary · Brand Guide · libraries</t>
  </si>
  <si>
    <t>Post-close entity page tabs: Overview | Financials | CORE KPIs | FLEX KPIs | Tasks | Docs | SS tickets | Audit.</t>
  </si>
  <si>
    <t>3 · ROLE-BASED ACCESS CONTROL (HIGH LEVEL)</t>
  </si>
  <si>
    <t>Can see / do</t>
  </si>
  <si>
    <t>Cannot (examples)</t>
  </si>
  <si>
    <t>Visionary</t>
  </si>
  <si>
    <t>Full read; capital allocation; CORE exceptions; Critical war rooms</t>
  </si>
  <si>
    <t>— final capital authority</t>
  </si>
  <si>
    <t>Deal tracks; IC; thesis portfolio cos; recovery plans</t>
  </si>
  <si>
    <t>Change CORE standard alone</t>
  </si>
  <si>
    <t>Associate / VC Sourcer</t>
  </si>
  <si>
    <t>VC pipeline, DD, tasks, memos</t>
  </si>
  <si>
    <t>Wire; set Health; other tracks unless granted</t>
  </si>
  <si>
    <t>RE Sourcer / M&amp;A Associate</t>
  </si>
  <si>
    <t>Own track boards + Command Center read</t>
  </si>
  <si>
    <t>Other tracks by default</t>
  </si>
  <si>
    <t>COO (Subsidiaries)</t>
  </si>
  <si>
    <t>Portfolio Active, Health, packs, SS priority, Roll-up</t>
  </si>
  <si>
    <t>IC approve; silent capital DocuSign</t>
  </si>
  <si>
    <t>Sub Lead</t>
  </si>
  <si>
    <t>Own entity ops, KPI inputs, Top Risk, weekly review</t>
  </si>
  <si>
    <t>Other entities; firm capital</t>
  </si>
  <si>
    <t>Service Lead (Fin/Legal/HR/IT/Mkt)</t>
  </si>
  <si>
    <t>Own SS queue, SLAs, QBE close (Finance)</t>
  </si>
  <si>
    <t>Change deal outcomes</t>
  </si>
  <si>
    <t>Docs, CPs, wire package, archive</t>
  </si>
  <si>
    <t>IC commercial decision alone</t>
  </si>
  <si>
    <t>Users, templates, enums, seed</t>
  </si>
  <si>
    <t>Bypass dual-control wire</t>
  </si>
  <si>
    <t>4 · KEY DATA MODELS</t>
  </si>
  <si>
    <t>Model</t>
  </si>
  <si>
    <t>Purpose</t>
  </si>
  <si>
    <t>Excel source</t>
  </si>
  <si>
    <t>entities (Entity Master)</t>
  </si>
  <si>
    <t>Canonical ENT-*; module; QBE key; parent; portfolio_id</t>
  </si>
  <si>
    <t>Entity Master</t>
  </si>
  <si>
    <t>leads / ma_targets / re_deals</t>
  </si>
  <si>
    <t>Pre-close deal objects by track</t>
  </si>
  <si>
    <t>Pipeline / M&amp;A / RE Active</t>
  </si>
  <si>
    <t>deals</t>
  </si>
  <si>
    <t>VC post-IC execution (TS→wire)</t>
  </si>
  <si>
    <t>Deal Active/Closed</t>
  </si>
  <si>
    <t>tasks + task_templates</t>
  </si>
  <si>
    <t>Work items; spawn from process libraries</t>
  </si>
  <si>
    <t>*Tasks + *Process Library</t>
  </si>
  <si>
    <t>dd_items</t>
  </si>
  <si>
    <t>Diligence checklist instances</t>
  </si>
  <si>
    <t>Needs Completed / Completed</t>
  </si>
  <si>
    <t>portfolio_companies</t>
  </si>
  <si>
    <t>Post-close ops row; CORE KPI fields; Health</t>
  </si>
  <si>
    <t>entity_month_pnl</t>
  </si>
  <si>
    <t>Monthly Core P&amp;L by entity</t>
  </si>
  <si>
    <t>Portfolio Roll-up §A</t>
  </si>
  <si>
    <t>entity_month_kpi (CORE)</t>
  </si>
  <si>
    <t>Monthly CORE KPIs + roll-up method</t>
  </si>
  <si>
    <t>Core Structure §3</t>
  </si>
  <si>
    <t>entity_month_kpi_flex</t>
  </si>
  <si>
    <t>Industry KPIs (no portfolio money roll-up)</t>
  </si>
  <si>
    <t>Recruit 619 Alignment / playbooks</t>
  </si>
  <si>
    <t>portfolio_month_rollup / firm_month_rollup</t>
  </si>
  <si>
    <t>SUM / WEIGHTED / MIN_FLAG / COUNT outputs</t>
  </si>
  <si>
    <t>Portfolio Roll-up</t>
  </si>
  <si>
    <t>docs</t>
  </si>
  <si>
    <t>Library + DocuSign envelopes</t>
  </si>
  <si>
    <t>Document Management</t>
  </si>
  <si>
    <t>tickets</t>
  </si>
  <si>
    <t>Shared Services intake + SLA</t>
  </si>
  <si>
    <t>SS Operating Model</t>
  </si>
  <si>
    <t>Join: pre-close by canonical_name; post-close by entity_id. Enums exact from Data Dictionary.</t>
  </si>
  <si>
    <t>5 · MAJOR WORKFLOWS</t>
  </si>
  <si>
    <t>Workflow</t>
  </si>
  <si>
    <t>Path</t>
  </si>
  <si>
    <t>Human gates</t>
  </si>
  <si>
    <t>VC source → Ready for DD</t>
  </si>
  <si>
    <t>Lead stages + task spawn → Advanced to DD</t>
  </si>
  <si>
    <t>Partner path decisions</t>
  </si>
  <si>
    <t>DD → IC package</t>
  </si>
  <si>
    <t>Checklist → scorecard + financial model</t>
  </si>
  <si>
    <t>IC vote</t>
  </si>
  <si>
    <t>VC close</t>
  </si>
  <si>
    <t>TS → docs → CPs → wire → Deal Closed</t>
  </si>
  <si>
    <t>Dual-control wire; DocuSign send</t>
  </si>
  <si>
    <t>M&amp;A close</t>
  </si>
  <si>
    <t>LOI → QoE → SPA → Acquired → Integration</t>
  </si>
  <si>
    <t>LOI/IC authority; fund</t>
  </si>
  <si>
    <t>RE close</t>
  </si>
  <si>
    <t>Underwrite → offer/PSA → diligence → purchase → RE Portfolio</t>
  </si>
  <si>
    <t>Offer authority; wire</t>
  </si>
  <si>
    <t>Post-close handoff</t>
  </si>
  <si>
    <t>ENT-* → QBE → doc folders → Handoff Pack → Portfolio Active</t>
  </si>
  <si>
    <t>Partner + COO pack sign-off</t>
  </si>
  <si>
    <t>Monthly portfolio cycle</t>
  </si>
  <si>
    <t>QBE close → pack → Roll-up → Health/Top Risk → Command Center</t>
  </si>
  <si>
    <t>COO sets Health</t>
  </si>
  <si>
    <t>Health escalation</t>
  </si>
  <si>
    <t>Watch / At Risk / Critical per Core Structure §6</t>
  </si>
  <si>
    <t>COO → Partner → Visionary by level</t>
  </si>
  <si>
    <t>Shared Services ticket (+ Grok/Cursor bands)</t>
  </si>
  <si>
    <t>Intake → diagnose AUTO/DRAFT/ESCALATE → resolve; forbid-list enforced server-side</t>
  </si>
  <si>
    <t>See SS Model §7; capital/Health/DocuSign capital always human</t>
  </si>
  <si>
    <t>Document / DocuSign</t>
  </si>
  <si>
    <t>Template → merge → send → webhook → /07_Signed</t>
  </si>
  <si>
    <t>Human send on capital docs</t>
  </si>
  <si>
    <t>Capital allocation review</t>
  </si>
  <si>
    <t>Bi-weekly view across VC / M&amp;A / RE</t>
  </si>
  <si>
    <t>6 · REUSE VS REBUILD</t>
  </si>
  <si>
    <t>Reuse from Excel OS (do not reinvent)</t>
  </si>
  <si>
    <t>Rebuild in portal software</t>
  </si>
  <si>
    <t>Stages, enums, process libraries, scorecard logic</t>
  </si>
  <si>
    <t>Multi-user auth, realtime boards, permissions</t>
  </si>
  <si>
    <t>CORE KPI definitions + roll-up methods (SUM/WEIGHTED/MIN/FLAG/COUNT)</t>
  </si>
  <si>
    <t>Monthly job engine + QBE connectors</t>
  </si>
  <si>
    <t>Health matrix + escalation ladder</t>
  </si>
  <si>
    <t>Notifications, SLA timers, mobile UX</t>
  </si>
  <si>
    <t>Entity Master field model</t>
  </si>
  <si>
    <t>Search, activity feed, concurrency</t>
  </si>
  <si>
    <t>Doc folder taxonomy + merge field catalog</t>
  </si>
  <si>
    <t>DocuSign API + secure object storage</t>
  </si>
  <si>
    <t>SS services, SLAs, P0–P3 priority</t>
  </si>
  <si>
    <t>Full ticket product UX</t>
  </si>
  <si>
    <t>CSV/table shapes for seed migrations</t>
  </si>
  <si>
    <t>Any legacy screens that fight Core Structure</t>
  </si>
  <si>
    <t>Brand palette + How We Run cadence</t>
  </si>
  <si>
    <t>Duplicate company masters or status synonyms</t>
  </si>
  <si>
    <t>Rule: Excel remains requirements SSOT until Cursor Brief acceptance tests pass for each feature.</t>
  </si>
  <si>
    <t>7 · RECOMMENDED TECH STACK</t>
  </si>
  <si>
    <t>Area</t>
  </si>
  <si>
    <t>Recommendation</t>
  </si>
  <si>
    <t>Application</t>
  </si>
  <si>
    <t>Next.js (App Router) + TypeScript</t>
  </si>
  <si>
    <t>API / database</t>
  </si>
  <si>
    <t>Postgres + Prisma or Drizzle; REST/tRPC/server actions</t>
  </si>
  <si>
    <t>Auth</t>
  </si>
  <si>
    <t>SSO-ready auth with role claims (Auth.js / Clerk / WorkOS, etc.)</t>
  </si>
  <si>
    <t>Files</t>
  </si>
  <si>
    <t>S3-compatible storage; signed URLs</t>
  </si>
  <si>
    <t>Finance</t>
  </si>
  <si>
    <t>Intuit/QBE export or API; keep bank feed in QBE</t>
  </si>
  <si>
    <t>E-sign</t>
  </si>
  <si>
    <t>DocuSign eSignature API + webhooks</t>
  </si>
  <si>
    <t>Background jobs</t>
  </si>
  <si>
    <t>Queue worker (Inngest, BullMQ, etc.) for roll-ups and SLAs</t>
  </si>
  <si>
    <t>AI (optional)</t>
  </si>
  <si>
    <t>Constrained agent tools per Cursor Brief agent rules</t>
  </si>
  <si>
    <t>Observability</t>
  </si>
  <si>
    <t>Structured logs + immutable audit table for capital actions</t>
  </si>
  <si>
    <t>8 · PHASED DEVELOPMENT ROADMAP</t>
  </si>
  <si>
    <t>Scope</t>
  </si>
  <si>
    <t>Exit criteria</t>
  </si>
  <si>
    <t>P0 Foundation</t>
  </si>
  <si>
    <t>Auth/RBAC, entities (Entity Master), brand shell, Excel seed</t>
  </si>
  <si>
    <t>Login works; ENT-* CRUD; enums locked</t>
  </si>
  <si>
    <t>P1 VC Deal Flow + Home</t>
  </si>
  <si>
    <t>VC Pipeline, lead tasks spawn, DD, Command Center lite</t>
  </si>
  <si>
    <t>Associate can run a week in-app; CC counts match rules</t>
  </si>
  <si>
    <t>P2 Close path</t>
  </si>
  <si>
    <t>Scorecard, Fin Model, Deal Desk, Docs NDA + human DocuSign send</t>
  </si>
  <si>
    <t>IC package path live; NDA signed end-to-end</t>
  </si>
  <si>
    <t>P3 Portfolio</t>
  </si>
  <si>
    <t>Handoff, Portfolio Active, CORE KPIs, Health, monthly Roll-up job</t>
  </si>
  <si>
    <t>Close creates entity+portfolio; pack roll-up correct (WEIGHTED/MIN/FLAG)</t>
  </si>
  <si>
    <t>P4 Other tracks</t>
  </si>
  <si>
    <t>M&amp;A + RE modules (separate models)</t>
  </si>
  <si>
    <t>Tracks run without polluting VC schema</t>
  </si>
  <si>
    <t>P5 Firm OS</t>
  </si>
  <si>
    <t>SS tickets + QBE close path, capital DocuSign, dual-control wire log, Firm Ops</t>
  </si>
  <si>
    <t>SLA clocks live; no wire without dual-control record</t>
  </si>
  <si>
    <t>P6 Harden</t>
  </si>
  <si>
    <t>Audit Master, agent drafts, mobile polish; Excel becomes backup SSOT only</t>
  </si>
  <si>
    <t>Cursor Brief acceptance tests green</t>
  </si>
  <si>
    <t>Build detail: Platform Spec · Cursor Brief · Data Dictionary · SS Model §7 (Grok+Cursor Ticketing)</t>
  </si>
  <si>
    <t>Domain rules: Core Subsidiary Structure · Portfolio Roll-up · Entity Master · Document Management</t>
  </si>
  <si>
    <t>Ops: How We Run · Command Center · Firm Operations · Shared Services Operating Model §7 · Recruit 619 Alignment · Brand &amp; Styling Guide</t>
  </si>
  <si>
    <t>9 · GROK + CURSOR TICKETING (SUMMARY)</t>
  </si>
  <si>
    <t>Full spec: Shared Services Operating Model §7. Bands: AUTO (allow-list only) · DRAFT (human approve) · ESCALATE (low confidence / high risk). Forbid-list: wires, Health, capital DocuSign send, CORE changes, unapproved external email, IC approve. All actions audit-logged with reasoning. Autonomy expands only via COO-signed allow-list promotions.</t>
  </si>
  <si>
    <t>Portal module: tickets + agent_runs + audit_log tables; policy engine must hard-block forbid-list regardless of model confidence.</t>
  </si>
  <si>
    <t>Tage VC Portal — Platform Spec (Current)</t>
  </si>
  <si>
    <t>Product requirements for the internal portal. Excel workbook is the SSOT prototype. See also Portal Architecture + Cursor Brief.</t>
  </si>
  <si>
    <t>1. PRODUCT VISION</t>
  </si>
  <si>
    <t>One portal for Tage VC: three deal tracks (VC Invest, M&amp;A Buy, RE Buy) → close → Core Subsidiary operations (COO) → firm capital, Shared Services, and governance (Visionary). Operator system, not a pitch portal.</t>
  </si>
  <si>
    <t>2. THREE-LAYER MODEL</t>
  </si>
  <si>
    <t>What it covers</t>
  </si>
  <si>
    <t>Excel SSOT tabs</t>
  </si>
  <si>
    <t>L1 Deal Flow</t>
  </si>
  <si>
    <t>VC / M&amp;A / RE sourcing → diligence → close</t>
  </si>
  <si>
    <t>Pipeline*, Deal*, M&amp;A*, RE*, scorecards, models, libraries</t>
  </si>
  <si>
    <t>L2 Portfolio / Subsidiaries</t>
  </si>
  <si>
    <t>Handoff, CORE KPIs, Health, roll-up, sub playbooks</t>
  </si>
  <si>
    <t>Core Subsidiary Structure, Sub OS, Handoff, Portfolio Active, Portfolio Roll-up, Entity Master, Recruit 619 Alignment</t>
  </si>
  <si>
    <t>L3 Firm + Shared Services</t>
  </si>
  <si>
    <t>Visionary + COO (SS stack-rank)</t>
  </si>
  <si>
    <t>Command Center, capital, SS tickets/SLAs, audits, firm rhythm</t>
  </si>
  <si>
    <t>Command Center, Firm Operations, SS Model, Annual Audit Master, How We Run</t>
  </si>
  <si>
    <t>3. PERSONAS (RBAC)</t>
  </si>
  <si>
    <t>Visionary · Partner · Associate/VC Sourcer · RE Sourcer · M&amp;A Associate · COO · Sub Lead · Service Lead (Fin/Legal/HR/IT/Mkt) · Counsel/Ops · Admin. Detail can/cannot: Portal Architecture §3 + Cursor Brief.</t>
  </si>
  <si>
    <t>4. MODULES (NAV + BUILD ORDER)</t>
  </si>
  <si>
    <t>ID</t>
  </si>
  <si>
    <t>Module / Nav</t>
  </si>
  <si>
    <t>Capabilities</t>
  </si>
  <si>
    <t>Excel sources</t>
  </si>
  <si>
    <t>M0</t>
  </si>
  <si>
    <t>Identity &amp; Admin</t>
  </si>
  <si>
    <t>entities, users, RBAC, enums, brand</t>
  </si>
  <si>
    <t>Entity Master, Data Dictionary, Brand Guide</t>
  </si>
  <si>
    <t>M1</t>
  </si>
  <si>
    <t>Command Center (Home)</t>
  </si>
  <si>
    <t>Funnel counts, portfolio health COUNT, capital pulse</t>
  </si>
  <si>
    <t>Command Center, Portfolio Roll-up §C–D</t>
  </si>
  <si>
    <t>M2</t>
  </si>
  <si>
    <t>Pipeline, lead tasks, DD, scorecard, fin model, deal desk</t>
  </si>
  <si>
    <t>Pipeline*, Lead Tasks*, Needs Completed*, Scorecard, Financial Model, Deal*</t>
  </si>
  <si>
    <t>M3</t>
  </si>
  <si>
    <t>Targets, LOI, QoE tasks, scorecard, model, integration</t>
  </si>
  <si>
    <t>M4</t>
  </si>
  <si>
    <t>Resi/CRE pipeline, underwrite, PSA, RE portfolio</t>
  </si>
  <si>
    <t>M5</t>
  </si>
  <si>
    <t>Handoff, Portfolio Active, entity page, CORE KPIs, Health, Roll-up job</t>
  </si>
  <si>
    <t>Core Structure, Handoff, Portfolio Active, Roll-up</t>
  </si>
  <si>
    <t>M6</t>
  </si>
  <si>
    <t>Tickets P0–P3, SLAs, close calendar, audit checklists</t>
  </si>
  <si>
    <t>SS Operating Model, Annual Audit Master</t>
  </si>
  <si>
    <t>M7</t>
  </si>
  <si>
    <t>Library by entity_id, templates, DocuSign</t>
  </si>
  <si>
    <t>M8</t>
  </si>
  <si>
    <t>Firm Operations</t>
  </si>
  <si>
    <t>Firm Operations, How We Run</t>
  </si>
  <si>
    <t>M9</t>
  </si>
  <si>
    <t>Automations / Agents</t>
  </si>
  <si>
    <t>Stage task spawn, roll-up job, SLA clocks, draft memos</t>
  </si>
  <si>
    <t>Cursor Brief agent rules</t>
  </si>
  <si>
    <t>5. DATA MODEL (CURRENT)</t>
  </si>
  <si>
    <t>Table</t>
  </si>
  <si>
    <t>Grain</t>
  </si>
  <si>
    <t>Key fields / rules</t>
  </si>
  <si>
    <t>entities</t>
  </si>
  <si>
    <t>1 / legal entity</t>
  </si>
  <si>
    <t>ENT-*, canonical_name, type, parent_id, industry_module, qbe_key, portfolio_id (Entity Master)</t>
  </si>
  <si>
    <t>leads | ma_targets | re_deals</t>
  </si>
  <si>
    <t>1 / pre-close object</t>
  </si>
  <si>
    <t>LD-/MA-/RE-; join name until ENT issued at close</t>
  </si>
  <si>
    <t>1 / VC execution</t>
  </si>
  <si>
    <t>DE-*; TS→wire stages</t>
  </si>
  <si>
    <t>1 / task or library row</t>
  </si>
  <si>
    <t>LT/DD/DT/MT/RT; spawn from process libraries</t>
  </si>
  <si>
    <t>1 / DD checklist item</t>
  </si>
  <si>
    <t>Archive on complete</t>
  </si>
  <si>
    <t>1 / post-close ops row</t>
  </si>
  <si>
    <t>PF-*; CORE KPI fields; Health enum</t>
  </si>
  <si>
    <t>entity × month</t>
  </si>
  <si>
    <t>Core P&amp;L lines (Revenue…Cash)</t>
  </si>
  <si>
    <t>entity_month_kpi</t>
  </si>
  <si>
    <t>entity × month × kpi_key</t>
  </si>
  <si>
    <t>CORE only; method SUM|WEIGHTED|MIN_FLAG|COUNT|LIST (Core Structure §3)</t>
  </si>
  <si>
    <t>entity × month × flex_key</t>
  </si>
  <si>
    <t>Never into portfolio money totals</t>
  </si>
  <si>
    <t>portfolio_month_rollup</t>
  </si>
  <si>
    <t>month</t>
  </si>
  <si>
    <t>SUM money; WEIGHTED % from sums; MIN runway; FLAG &lt;12; health COUNT</t>
  </si>
  <si>
    <t>firm_month_rollup</t>
  </si>
  <si>
    <t>Firm-only opex/cash + allocation; col F not mixed into sub cols</t>
  </si>
  <si>
    <t>1 / document</t>
  </si>
  <si>
    <t>entity_id, envelope_id, uri, status</t>
  </si>
  <si>
    <t>1 / SS ticket</t>
  </si>
  <si>
    <t>service, P0–P3, SLA clocks</t>
  </si>
  <si>
    <t>Join: pre-close canonical_name; post-close entity_id. Enums exact (Data Dictionary). Roll-up authority: Core §3 + Portfolio Roll-up How to Use.</t>
  </si>
  <si>
    <t>6. MAJOR WORKFLOWS</t>
  </si>
  <si>
    <t>VC source→DD→IC→wire · M&amp;A LOI→close→integration · RE underwrite→PSA→purchase · Close→ENT+Handoff+Portfolio · Monthly pack→Roll-up→Health→CC · SS tickets · DocuSign (human send on capital) · Capital allocation review. Detail: Portal Architecture §5.</t>
  </si>
  <si>
    <t>7. AUTOMATION BOUNDARIES</t>
  </si>
  <si>
    <t>Automate: task spawn, roll-up job, QBE bank/recurring/close/pack export, SLA clocks, DocuSign status webhooks, draft memos.</t>
  </si>
  <si>
    <t>Human required: IC, Health judgment, wire/dual-control, DocuSign send on TS/SPA/PSA/wire docs, founder email send, CORE exceptions, capital allocation.</t>
  </si>
  <si>
    <t>8. UX &amp; BRAND</t>
  </si>
  <si>
    <t>Brand &amp; Styling Guide. Pre-close: track boards. Post-close entity page: Overview | Financials | CORE KPIs | FLEX | Tasks | Docs | SS | Audit. Next action always visible. Health chips = forced enum.</t>
  </si>
  <si>
    <t>9. TECH</t>
  </si>
  <si>
    <t>Next.js + TS · Postgres · RBAC SSO · object storage · QBE/Intuit · DocuSign · job queue · optional constrained agent. Seed CSV from Excel tables.</t>
  </si>
  <si>
    <t>10. PHASES (summary)</t>
  </si>
  <si>
    <t>P0 Foundation (M0) → P1 VC+CC (M1–M2,M1-home) → P2 Close+Docs NDA → P3 Portfolio+Roll-up → P4 M&amp;A/RE → P5 SS+QBE+capital DocuSign+Firm → P6 harden &amp; Excel backup-only. Full criteria: Portal Architecture §8.</t>
  </si>
  <si>
    <t>LINKS: Portal Architecture · Cursor Brief · Data Dictionary · Entity Master · Core Subsidiary Structure · Portfolio Roll-up · Document Management · SS Model · Firm Operations · How We Run · Brand &amp; Styling Guide</t>
  </si>
  <si>
    <t>CURSOR BUILD BRIEF — Tage VC Portal (paste into Cursor)</t>
  </si>
  <si>
    <t>Excel workbook = requirements SSOT. Keep enums exact. Ship modules in order. Brand: Brand &amp; Styling Guide.</t>
  </si>
  <si>
    <t>## ROLE</t>
  </si>
  <si>
    <t>Build the Tage VC internal portal covering Deal Flow (VC + M&amp;A + RE), Portfolio/Core Subsidiary ops, Shared Services, Firm Operations, and Document/DocuSign workflows.</t>
  </si>
  <si>
    <t>## READ FIRST (in this order)</t>
  </si>
  <si>
    <t>1. Portal Architecture — high-level map, reuse vs rebuild, phases</t>
  </si>
  <si>
    <t>2. Platform Spec — L1–L3, modules M0–M9, data model, automation boundaries</t>
  </si>
  <si>
    <t>3. Data Dictionary — enums</t>
  </si>
  <si>
    <t>4. Entity Master — ENT-* fields</t>
  </si>
  <si>
    <t>5. Core Subsidiary Structure §3 — CORE KPI definitions + roll-up methods; §6 Health</t>
  </si>
  <si>
    <t>6. Portfolio Roll-up — How to Use + SUM/WEIGHTED/MIN/FLAG/COUNT formulas</t>
  </si>
  <si>
    <t>7. Document Management &amp; Workflow — DocuSign human-send rules</t>
  </si>
  <si>
    <t>8. Shared Services Operating Model — SLAs + QBE</t>
  </si>
  <si>
    <t>9. How We Run + Brand &amp; Styling Guide</t>
  </si>
  <si>
    <t>## THREE-LAYER OS</t>
  </si>
  <si>
    <t>L1 Deal Flow: VC Pipeline/DD/Deal + separate M&amp;A track + separate RE track</t>
  </si>
  <si>
    <t>L2 Portfolio: close → ENT-* → Handoff → Portfolio Active → monthly pack → Roll-up; Core Subsidiary Structure is law</t>
  </si>
  <si>
    <t>L3 Firm: Command Center, capital allocation, SS tickets, Firm Ops, audits</t>
  </si>
  <si>
    <t>## NON-NEGOTIABLES</t>
  </si>
  <si>
    <t>• Join pre-close on canonical_name; post-close on entity_id (ENT-*)</t>
  </si>
  <si>
    <t>• Enums exact — no synonyms (health: On Track|Watch|At Risk|Critical only)</t>
  </si>
  <si>
    <t>• IDs: ENT, LD, LT, DD, DE, DT, MA, MT, RE, RT, PF, PFRE, PH</t>
  </si>
  <si>
    <t>• Soft-delete/archive completed work; never hard-delete audit history</t>
  </si>
  <si>
    <t>• CORE KPIs required monthly; FLEX never rolls into portfolio money totals</t>
  </si>
  <si>
    <t>• Roll-up: SUM money/FTE; WEIGHTED % from sums (never avg %); MIN/FLAG runway (&lt;12) and concentration (&gt;25%); COUNT health; LIST top risks</t>
  </si>
  <si>
    <t>• Human required: IC, Health, wire/dual-control, DocuSign send on capital docs, founder email, CORE exceptions, capital allocation</t>
  </si>
  <si>
    <t>• RBAC roles per Platform Spec / Portal Architecture</t>
  </si>
  <si>
    <t>## MODULES TO BUILD</t>
  </si>
  <si>
    <t>M0 Identity/Admin · M1 Command Center · M2 VC Deal Flow · M3 M&amp;A · M4 RE · M5 Portfolio/Core/Handoff/Roll-up</t>
  </si>
  <si>
    <t>M6 Shared Services + Audit · M7 Documents/DocuSign · M8 Firm Ops · M9 Automations/Agents</t>
  </si>
  <si>
    <t>## MVP (ship first)</t>
  </si>
  <si>
    <t>M0 + M2 pipeline/tasks + M1-lite CC: entities CRUD, VC leads kanban, stage→task spawn from templates, seed TablePipeline + TableEntities, dashboard counts for leads + portfolio health COUNT.</t>
  </si>
  <si>
    <t>## DATA / ROLL-UP JOB</t>
  </si>
  <si>
    <t>Tables: entities, leads/ma_targets/re_deals, deals, tasks, task_templates, dd_items, portfolio_companies, entity_month_pnl, entity_month_kpi, entity_month_kpi_flex, portfolio_month_rollup, firm_month_rollup, docs, tickets.</t>
  </si>
  <si>
    <t>Monthly job order: load pnl → SUM money → WEIGHTED % from sums → MIN/FLAG runway &amp; concentration → COUNT health from portfolio_companies.health.</t>
  </si>
  <si>
    <t>Portfolio Active = ops UI (Health/Top Risk). Portfolio Roll-up = numeric proof. Same period CORE values must match.</t>
  </si>
  <si>
    <t>QBE: one company/class per entity_id; export feeds pnl; never auto-wire.</t>
  </si>
  <si>
    <t>## DOCUMENTS</t>
  </si>
  <si>
    <t>Paths by entity_id; merge {{entity.*}} {{deal.*}}; DocuSign webhook; human Send on TS/SPA/PSA/wire; store PDF+certificate under /07_Signed.</t>
  </si>
  <si>
    <t>## GROK + CURSOR TICKETING &amp; AUTOMATION</t>
  </si>
  <si>
    <t>Full policy: Shared Services Operating Model §7 + Portal Architecture §9. Implement ticket lifecycle: intake → diagnose (confidence + band) → AUTO | DRAFT | ESCALATE → resolve → learn.</t>
  </si>
  <si>
    <t>AUTO only for allow-listed low-risk tasks at ≥90% confidence with immutable audit log. DRAFT = human Approve/Edit/Reject. ESCALATE if confidence &lt;60%, P0 capital/legal/security, or forbid-list.</t>
  </si>
  <si>
    <t>FORBID autonomous: wires/capital deploy, set Health, capital DocuSign Send, CORE changes, external founder/investor email without approve, IC approve, silent-close P0.</t>
  </si>
  <si>
    <t>Autonomy growth: v0 shadow → v1 allow-list AUTO → v2 expand per 50+ drafts / ≤2% edit rate / COO sign-off → v3 steady-state. Never promote forbid-list types. policy_version on every agent_run.</t>
  </si>
  <si>
    <t>## AGENT (SHORT)</t>
  </si>
  <si>
    <t>Can: diagnose tickets, draft memos/DD lists/pass reasons/pack narrative, spawn allow-listed tasks, SLA reminders, suggest QBE rules already in playbook.</t>
  </si>
  <si>
    <t>Cannot: anything on forbid-list above. Server-side policy engine required — not prompt-only.</t>
  </si>
  <si>
    <t>## SAMPLE FIRST PROMPT</t>
  </si>
  <si>
    <t>Implement Tage VC portal per Portal Architecture + Platform Spec + SS Model §7. M0 entities + M2 VC Pipeline + tickets with AUTO/DRAFT/ESCALATE bands and forbid-list hard blocks. Seed TablePipeline/TableEntities. Command Center health COUNTs + FRESH checks. Brand Guide colors. Tests: enum validation, task spawn once, forbid-list cannot auto-wire or set Health, audit_log written on every agent action.</t>
  </si>
  <si>
    <t>## ACCEPTANCE TESTS</t>
  </si>
  <si>
    <t>• Lead requires name + source + owner</t>
  </si>
  <si>
    <t>• Stage change spawns missing template tasks once</t>
  </si>
  <si>
    <t>• Close creates entity/handoff/portfolio CORE fields</t>
  </si>
  <si>
    <t>• Roll-up WEIGHTED margin; MIN runway; concentration FLAG &gt;25%</t>
  </si>
  <si>
    <t>• Health enum-only; COUNTs feed Command Center</t>
  </si>
  <si>
    <t>• FLEX cannot write portfolio money roll-up</t>
  </si>
  <si>
    <t>• Capital DocuSign send + wires require human; dual-control recorded</t>
  </si>
  <si>
    <t>• Agent AUTO cannot set Health, wire, capital DocuSign, CORE change, or external send</t>
  </si>
  <si>
    <t>• Every agent action writes audit_log with reasoning + confidence + band</t>
  </si>
  <si>
    <t>IC package in-app; associates on pipeline+tasks; close→entity+handoff+portfolio; COO CORE KPIs/Health; roll-up matches Excel rules; SS+QBE path stubbed; DocuSign NDA with human send.</t>
  </si>
  <si>
    <t>## SPREADSHEET ↔ CODE</t>
  </si>
  <si>
    <t>TableEntities→entities | TablePipeline→leads | tasks/templates | TablePortfolio→portfolio_companies | SS Model→ticket_slas + agent_policy | Document Management→docs | SS §7→agent_runs/audit_log</t>
  </si>
  <si>
    <t>Portal Architecture · Platform Spec · Data Dictionary · Entity Master · Core Subsidiary Structure · Portfolio Roll-up · Document Management · SS Model · Firm Operations · How We Run · Recruit 619 Alignment · Brand &amp; Styling Guide</t>
  </si>
  <si>
    <t>## DONE v1</t>
  </si>
  <si>
    <t>IC path in-app; pipeline+tasks live; close→entity+portfolio; COO Health; roll-up rules match Excel; tickets with draft/escalate; DocuSign NDA human send; agent forbid-list enforced in API.</t>
  </si>
  <si>
    <t>## LINKS</t>
  </si>
  <si>
    <t>Portal Architecture · Platform Spec · SS Model §7 Grok+Cursor Ticketing · Data Dictionary · Entity Master · Core Structure · Portfolio Roll-up · Document Management · How We Run · Brand &amp; Styling Guide</t>
  </si>
  <si>
    <t>Tage VC Platform — Data Dictionary (Source of Truth for Build)</t>
  </si>
  <si>
    <t>Entities, fields, enums, and relationships. Spreadsheet tables map 1:1 to future DB models.</t>
  </si>
  <si>
    <t>Entity</t>
  </si>
  <si>
    <t>Sheet / Table</t>
  </si>
  <si>
    <t>Primary key</t>
  </si>
  <si>
    <t>Foreign keys</t>
  </si>
  <si>
    <t>Core fields</t>
  </si>
  <si>
    <t>Lifecycle</t>
  </si>
  <si>
    <t>Company</t>
  </si>
  <si>
    <t>Canonical name across all sheets</t>
  </si>
  <si>
    <t>company_id (slug)</t>
  </si>
  <si>
    <t>name, website, sector, path, location</t>
  </si>
  <si>
    <t>Created at first lead</t>
  </si>
  <si>
    <t>Lead</t>
  </si>
  <si>
    <t>Pipeline Active / Closed · TablePipeline</t>
  </si>
  <si>
    <t>company_id</t>
  </si>
  <si>
    <t>source, stage, priority, owner, thesis_fit, score, check_size, next_action</t>
  </si>
  <si>
    <t>Active→Done</t>
  </si>
  <si>
    <t>LeadTask</t>
  </si>
  <si>
    <t>Lead Tasks · TableLeadTasks</t>
  </si>
  <si>
    <t>lead_id, company</t>
  </si>
  <si>
    <t>process_stage, task, status, owner, due</t>
  </si>
  <si>
    <t>DdItem</t>
  </si>
  <si>
    <t>Needs Completed / Completed · TableActive</t>
  </si>
  <si>
    <t>company as Entity</t>
  </si>
  <si>
    <t>category, item, priority, status, owner, evidence</t>
  </si>
  <si>
    <t>Open→Completed archive</t>
  </si>
  <si>
    <t>Deal</t>
  </si>
  <si>
    <t>Deal Active / Closed · TableDeal</t>
  </si>
  <si>
    <t>exec_stage, instrument, premoney, check, ownership, ts dates</t>
  </si>
  <si>
    <t>IC→Wired/Closed</t>
  </si>
  <si>
    <t>DealTask</t>
  </si>
  <si>
    <t>Deal Tasks · TableDealTasks</t>
  </si>
  <si>
    <t>deal_id</t>
  </si>
  <si>
    <t>process_stage, task, status, owner</t>
  </si>
  <si>
    <t>Scorecard</t>
  </si>
  <si>
    <t>Deal Scorecard</t>
  </si>
  <si>
    <t>scorecard_id</t>
  </si>
  <si>
    <t>company, lead_id</t>
  </si>
  <si>
    <t>pillar weights/scores, recommendation, IC decision</t>
  </si>
  <si>
    <t>Versioned per IC</t>
  </si>
  <si>
    <t>FinancialModel</t>
  </si>
  <si>
    <t>Financial Model</t>
  </si>
  <si>
    <t>model_id</t>
  </si>
  <si>
    <t>company, deal_id</t>
  </si>
  <si>
    <t>ARR, UE, burn, growth path, MOIC/IRR</t>
  </si>
  <si>
    <t>Snapshot at IC + close</t>
  </si>
  <si>
    <t>HandoffPack</t>
  </si>
  <si>
    <t>Portfolio Handoff</t>
  </si>
  <si>
    <t>PH-###</t>
  </si>
  <si>
    <t>deal_id, company</t>
  </si>
  <si>
    <t>thesis, KPIs, checklist, 30-day plan</t>
  </si>
  <si>
    <t>At wire</t>
  </si>
  <si>
    <t>PortfolioCompany</t>
  </si>
  <si>
    <t>Portfolio Active · TablePortfolio</t>
  </si>
  <si>
    <t>PF-###</t>
  </si>
  <si>
    <t>ARR, burn, runway, health, COO, board lead</t>
  </si>
  <si>
    <t>Post-close forever</t>
  </si>
  <si>
    <t>KEY ENUMS (do not invent synonyms in code)</t>
  </si>
  <si>
    <t>pipeline_stage</t>
  </si>
  <si>
    <t>Sourced | Screened | First Call | Partner Meeting | Deep Dive Prep | Ready for DD</t>
  </si>
  <si>
    <t>lead_outcome</t>
  </si>
  <si>
    <t>Advanced to DD | Pass | Lost | Withdrawn | Nurture archive</t>
  </si>
  <si>
    <t>dd_status</t>
  </si>
  <si>
    <t>Not Started | In Progress | Blocked | Waiting on Company | Completed</t>
  </si>
  <si>
    <t>priority</t>
  </si>
  <si>
    <t>Critical | High | Medium | Low</t>
  </si>
  <si>
    <t>exec_stage</t>
  </si>
  <si>
    <t>IC Approved | Term Sheet | Confirmatory DD | Docs Drafting | Signing Ready | Closing Conditions | Wired / Closed | Post-Close</t>
  </si>
  <si>
    <t>deal_outcome</t>
  </si>
  <si>
    <t>Wired / Closed | Dead | Paused</t>
  </si>
  <si>
    <t>thesis_fit</t>
  </si>
  <si>
    <t>Strong | Medium | Weak | Unknown</t>
  </si>
  <si>
    <t>path</t>
  </si>
  <si>
    <t>Launch | Partner | Exit</t>
  </si>
  <si>
    <t>portfolio_health</t>
  </si>
  <si>
    <t>On Track | Watch | At Risk | Critical</t>
  </si>
  <si>
    <t>JOIN RULE</t>
  </si>
  <si>
    <t>company.name is the human join key until company_id exists. Never rename mid-flight without updating all child records.</t>
  </si>
  <si>
    <t>M&amp;A ENTITIES</t>
  </si>
  <si>
    <t>MATarget</t>
  </si>
  <si>
    <t>M&amp;A Pipeline · TableMAPipeline</t>
  </si>
  <si>
    <t>MA-###</t>
  </si>
  <si>
    <t>company</t>
  </si>
  <si>
    <t>deal_type, ma_stage, EV, revenue, EBITDA, exclusivity</t>
  </si>
  <si>
    <t>Active→Acquired/Walked</t>
  </si>
  <si>
    <t>MATask</t>
  </si>
  <si>
    <t>M&amp;A Tasks · TableMATasks</t>
  </si>
  <si>
    <t>MT-###</t>
  </si>
  <si>
    <t>ma_id</t>
  </si>
  <si>
    <t>process_stage, task, status</t>
  </si>
  <si>
    <t>ma_stage</t>
  </si>
  <si>
    <t>Sourced | CIM Review | Management Meeting | IOI / Indication | LOI / Exclusivity | Confirmatory DD | Definitive Docs | Closing | Integration</t>
  </si>
  <si>
    <t>ma_outcome</t>
  </si>
  <si>
    <t>Acquired | Walked | Lost | Paused</t>
  </si>
  <si>
    <t>ma_deal_type</t>
  </si>
  <si>
    <t>Platform acquisition | Add-on / roll-up | Merger | Asset purchase | Other</t>
  </si>
  <si>
    <t>RE ENTITIES</t>
  </si>
  <si>
    <t>REDeal</t>
  </si>
  <si>
    <t>RE Pipeline · TableREPipeline</t>
  </si>
  <si>
    <t>RE-###</t>
  </si>
  <si>
    <t>route, asset_type, stage, ask, offer, NOI, sourcer</t>
  </si>
  <si>
    <t>Active→Purchased/Passed</t>
  </si>
  <si>
    <t>RETask</t>
  </si>
  <si>
    <t>RE Tasks · TableRETasks</t>
  </si>
  <si>
    <t>RT-###</t>
  </si>
  <si>
    <t>re_id</t>
  </si>
  <si>
    <t>route, stage, task, status</t>
  </si>
  <si>
    <t>REAsset</t>
  </si>
  <si>
    <t>RE Portfolio · TableREPortfolio</t>
  </si>
  <si>
    <t>PFRE-###</t>
  </si>
  <si>
    <t>basis, NOI, occ, health, PM</t>
  </si>
  <si>
    <t>Post-close</t>
  </si>
  <si>
    <t>re_route</t>
  </si>
  <si>
    <t>Residential | Commercial</t>
  </si>
  <si>
    <t>re_stage</t>
  </si>
  <si>
    <t>Sourced | Screen | Underwriting | Offer | LOI / PSA | Diligence | Closing | Onboard</t>
  </si>
  <si>
    <t>re_outcome</t>
  </si>
  <si>
    <t>Purchased | Passed | Lost | Paused</t>
  </si>
  <si>
    <t>DATA MODEL &amp; ROLL-UPS (PORTAL SCHEMA)</t>
  </si>
  <si>
    <t>Key fields</t>
  </si>
  <si>
    <t>Roll-up / notes</t>
  </si>
  <si>
    <t>1 row / legal entity</t>
  </si>
  <si>
    <t>entity_id, canonical_name, type, parent_id, module, qbe_key</t>
  </si>
  <si>
    <t>Entity Master tab</t>
  </si>
  <si>
    <t>revenue, cogs, opex, ebitda, burn, cash</t>
  </si>
  <si>
    <t>SUM → portfolio_month; + firm → consolidated</t>
  </si>
  <si>
    <t>kpi_key, value, unit</t>
  </si>
  <si>
    <t>SUM or WEIGHTED or MIN per kpi_key rules</t>
  </si>
  <si>
    <t>summed $; health counts</t>
  </si>
  <si>
    <t>Portfolio Roll-up + Command Center</t>
  </si>
  <si>
    <t>firm opex, firm cash, allocation %</t>
  </si>
  <si>
    <t>Firm Operations review</t>
  </si>
  <si>
    <t>1 row / document</t>
  </si>
  <si>
    <t>doc_id, entity_id, envelope_id, uri, status</t>
  </si>
  <si>
    <t>Document Management tab</t>
  </si>
  <si>
    <t>Hierarchy: ENT-FIRM → Subsidiaries / RE entities → monthly facts → Portfolio Active display → Firm KPIs</t>
  </si>
  <si>
    <t>LINKS: Entity Master · Portfolio Roll-up · Document Management · Cursor Brief</t>
  </si>
  <si>
    <t>Tage VC — Entity Master | Canonical Registry</t>
  </si>
  <si>
    <t>Single identity for every legal entity (ENT-*). Join key after close. Pre-close deals use canonical_name until ENT issued.</t>
  </si>
  <si>
    <t>entity_id</t>
  </si>
  <si>
    <t>canonical_name</t>
  </si>
  <si>
    <t>legal_name</t>
  </si>
  <si>
    <t>entity_type</t>
  </si>
  <si>
    <t>track_origin</t>
  </si>
  <si>
    <t>parent_entity_id</t>
  </si>
  <si>
    <t>status</t>
  </si>
  <si>
    <t>industry_module</t>
  </si>
  <si>
    <t>qbe_class_or_company</t>
  </si>
  <si>
    <t>portfolio_id</t>
  </si>
  <si>
    <t>coo_owner</t>
  </si>
  <si>
    <t>board_lead</t>
  </si>
  <si>
    <t>close_date</t>
  </si>
  <si>
    <t>notes</t>
  </si>
  <si>
    <t>ENT-FIRM</t>
  </si>
  <si>
    <t>Tage Venture Capital</t>
  </si>
  <si>
    <t>Tage Venture Capital LLC</t>
  </si>
  <si>
    <t>Active</t>
  </si>
  <si>
    <t>QBE: Tage Firm</t>
  </si>
  <si>
    <t>Parent firm entity</t>
  </si>
  <si>
    <t>ENT-001</t>
  </si>
  <si>
    <t>Sample Closed Co</t>
  </si>
  <si>
    <t>Sample Closed Co Inc.</t>
  </si>
  <si>
    <t>Subsidiary</t>
  </si>
  <si>
    <t>SaaS</t>
  </si>
  <si>
    <t>QBE: Sample Closed Co</t>
  </si>
  <si>
    <t>PF-001</t>
  </si>
  <si>
    <t>COO — Ops Lead</t>
  </si>
  <si>
    <t>Launch path</t>
  </si>
  <si>
    <t>ENT-002</t>
  </si>
  <si>
    <t>Instant NDA</t>
  </si>
  <si>
    <t>Instant NDA LLC</t>
  </si>
  <si>
    <t>QBE: Instant NDA</t>
  </si>
  <si>
    <t>PF-002</t>
  </si>
  <si>
    <t>Legal tech</t>
  </si>
  <si>
    <t>ENT-RE-001</t>
  </si>
  <si>
    <t>Sample Indy SFR</t>
  </si>
  <si>
    <t>Tage RE Holdco SPV 1</t>
  </si>
  <si>
    <t>RE Asset Entity</t>
  </si>
  <si>
    <t>Real Estate Resi</t>
  </si>
  <si>
    <t>QBE: RE Indy SFR</t>
  </si>
  <si>
    <t>PFRE-001</t>
  </si>
  <si>
    <t>PM — Resi</t>
  </si>
  <si>
    <t>Residential asset</t>
  </si>
  <si>
    <t>ENT-R619</t>
  </si>
  <si>
    <t>Recruit 619</t>
  </si>
  <si>
    <t>Recruit 619 LLC</t>
  </si>
  <si>
    <t>Recruiting</t>
  </si>
  <si>
    <t>QBE: Recruit 619</t>
  </si>
  <si>
    <t>PF-R619</t>
  </si>
  <si>
    <t>Canonical brand Recruit 619 — not 619 Recruiting</t>
  </si>
  <si>
    <t>ENTITY TYPES</t>
  </si>
  <si>
    <t>Firm — Tage parent / management company</t>
  </si>
  <si>
    <t>Subsidiary — operating company (VC Launch/Partner or M&amp;A control)</t>
  </si>
  <si>
    <t>RE Asset Entity — property SPV or propco</t>
  </si>
  <si>
    <t>Holdco — intermediate holding company (optional)</t>
  </si>
  <si>
    <t>Pipeline-only — not yet an owned entity (pre-close); use temporary name until ENT- issued at wire</t>
  </si>
  <si>
    <t>INDUSTRY MODULES (on top of core subsidiary structure)</t>
  </si>
  <si>
    <t>Module</t>
  </si>
  <si>
    <t>Extra KPI pack</t>
  </si>
  <si>
    <t>Extra playbooks</t>
  </si>
  <si>
    <t>SaaS / Software</t>
  </si>
  <si>
    <t>ARR, NRR, CAC, LTV, logo churn</t>
  </si>
  <si>
    <t>GTM, product ops</t>
  </si>
  <si>
    <t>Recruiting / Staffing</t>
  </si>
  <si>
    <t>Placements, GP per desk, fill time</t>
  </si>
  <si>
    <t>Desk ops, client SLAs</t>
  </si>
  <si>
    <t>Services / Ops</t>
  </si>
  <si>
    <t>Utilization, backlog, gross margin by job</t>
  </si>
  <si>
    <t>Delivery QA</t>
  </si>
  <si>
    <t>Occ, rent roll, yield on basis, repairs</t>
  </si>
  <si>
    <t>PM turn process</t>
  </si>
  <si>
    <t>Real Estate CRE</t>
  </si>
  <si>
    <t>NOI, occupancy, WALT, capex</t>
  </si>
  <si>
    <t>Lease abstract ops</t>
  </si>
  <si>
    <t>RULES</t>
  </si>
  <si>
    <t>1. canonical_name never changes without updating all child records (pipelines, portfolio, docs).</t>
  </si>
  <si>
    <t>2. At close: issue entity_id, link portfolio_id, create QBE class/company, create Doc library folder.</t>
  </si>
  <si>
    <t>3. parent_entity_id defaults to ENT-FIRM unless Holdco structure.</t>
  </si>
  <si>
    <t>4. Roll-ups only include status=Active subsidiaries/assets (or period filter).</t>
  </si>
  <si>
    <t>LINKS: Portfolio Roll-up · Data Dictionary · Portfolio Active · RE Portfolio · Subsidiary Operating System · Document Management &amp; Workflow</t>
  </si>
  <si>
    <t>Tage VC — VC Pipeline Active</t>
  </si>
  <si>
    <t>Sourced</t>
  </si>
  <si>
    <t>One row per company. Close to Pipeline Closed when Ready for DD or Pass.</t>
  </si>
  <si>
    <t>Screened</t>
  </si>
  <si>
    <t>First Call</t>
  </si>
  <si>
    <t>Summary</t>
  </si>
  <si>
    <t>Partner Meeting</t>
  </si>
  <si>
    <t>Active leads</t>
  </si>
  <si>
    <t>This week next actions</t>
  </si>
  <si>
    <t>Strong fit</t>
  </si>
  <si>
    <t>Deep Dive Prep</t>
  </si>
  <si>
    <t>Lead ID</t>
  </si>
  <si>
    <t>Added Date</t>
  </si>
  <si>
    <t>Website</t>
  </si>
  <si>
    <t>Sector</t>
  </si>
  <si>
    <t>Source Detail</t>
  </si>
  <si>
    <t>Pipeline Stage</t>
  </si>
  <si>
    <t>Priority</t>
  </si>
  <si>
    <t>Next Action</t>
  </si>
  <si>
    <t>Next Action Date</t>
  </si>
  <si>
    <t>Thesis Fit</t>
  </si>
  <si>
    <t>Raise Stage</t>
  </si>
  <si>
    <t>Check Size ($k)</t>
  </si>
  <si>
    <t>Location</t>
  </si>
  <si>
    <t>Last Touch</t>
  </si>
  <si>
    <t>Score (1-5)</t>
  </si>
  <si>
    <t>LD-001</t>
  </si>
  <si>
    <t>Acme AI</t>
  </si>
  <si>
    <t>acme.ai</t>
  </si>
  <si>
    <t>AI Infra</t>
  </si>
  <si>
    <t>Warm intro</t>
  </si>
  <si>
    <t>Jane Doe (portfolio CEO)</t>
  </si>
  <si>
    <t>Partner debrief + go/no-go to DD</t>
  </si>
  <si>
    <t>Strong</t>
  </si>
  <si>
    <t>Seed</t>
  </si>
  <si>
    <t>SF Bay</t>
  </si>
  <si>
    <t>Strong team; competitive process — move fast</t>
  </si>
  <si>
    <t>High</t>
  </si>
  <si>
    <t>LD-002</t>
  </si>
  <si>
    <t>Nova Health</t>
  </si>
  <si>
    <t>novahealth.io</t>
  </si>
  <si>
    <t>Healthtech</t>
  </si>
  <si>
    <t>Inbound</t>
  </si>
  <si>
    <t>Deck via website</t>
  </si>
  <si>
    <t>Founder call + send process email</t>
  </si>
  <si>
    <t>Medium</t>
  </si>
  <si>
    <t>Series A</t>
  </si>
  <si>
    <t>NYC</t>
  </si>
  <si>
    <t>Need clarity on regulatory path</t>
  </si>
  <si>
    <t>LD-003</t>
  </si>
  <si>
    <t>Beacon Robotics</t>
  </si>
  <si>
    <t>beaconrobotics.com</t>
  </si>
  <si>
    <t>Robotics</t>
  </si>
  <si>
    <t>Event</t>
  </si>
  <si>
    <t>TechCrunch Disrupt</t>
  </si>
  <si>
    <t>Desk research + thesis fit memo</t>
  </si>
  <si>
    <t>Unknown</t>
  </si>
  <si>
    <t>Boston</t>
  </si>
  <si>
    <t>Hardware-heavy; confirm fund appetite</t>
  </si>
  <si>
    <t>Low</t>
  </si>
  <si>
    <t>LD-004</t>
  </si>
  <si>
    <t>Ledgerly</t>
  </si>
  <si>
    <t>ledgerly.co</t>
  </si>
  <si>
    <t>Fintech</t>
  </si>
  <si>
    <t>Cold outreach</t>
  </si>
  <si>
    <t>Associate outbound</t>
  </si>
  <si>
    <t>Send intro note; request deck</t>
  </si>
  <si>
    <t>Pre-Seed</t>
  </si>
  <si>
    <t>Remote</t>
  </si>
  <si>
    <t>LD-005</t>
  </si>
  <si>
    <t>Orbit Data</t>
  </si>
  <si>
    <t>orbitdata.com</t>
  </si>
  <si>
    <t>Data/Analytics</t>
  </si>
  <si>
    <t>Scout</t>
  </si>
  <si>
    <t>Scout network — Alex R.</t>
  </si>
  <si>
    <t>Hand off to DD tracker + open data room</t>
  </si>
  <si>
    <t>Austin</t>
  </si>
  <si>
    <t>Partner approved to full DD — spawn DD checklist</t>
  </si>
  <si>
    <t>LP referral</t>
  </si>
  <si>
    <t>Other</t>
  </si>
  <si>
    <t>Weak</t>
  </si>
  <si>
    <t>Series B</t>
  </si>
  <si>
    <t>Series C+</t>
  </si>
  <si>
    <t>Bridge</t>
  </si>
  <si>
    <t>Not Started</t>
  </si>
  <si>
    <t>In Progress</t>
  </si>
  <si>
    <t>Blocked</t>
  </si>
  <si>
    <t>Waiting on Company</t>
  </si>
  <si>
    <t>Tage VC — VC Pipeline Closed (Log)</t>
  </si>
  <si>
    <t>Advanced to DD</t>
  </si>
  <si>
    <t>Leads that Advanced to DD, Passed, or Lost. Keep for source ROI and learning.</t>
  </si>
  <si>
    <t>Pass</t>
  </si>
  <si>
    <t>Lost</t>
  </si>
  <si>
    <t>Closed count</t>
  </si>
  <si>
    <t>Passed</t>
  </si>
  <si>
    <t>Withdrawn</t>
  </si>
  <si>
    <t>Nurture archive</t>
  </si>
  <si>
    <t>Final Stage</t>
  </si>
  <si>
    <t>Outcome Reason</t>
  </si>
  <si>
    <t>Date Closed</t>
  </si>
  <si>
    <t>Closed By</t>
  </si>
  <si>
    <t>LD-000</t>
  </si>
  <si>
    <t>Example Pass Co</t>
  </si>
  <si>
    <t>examplepass.com</t>
  </si>
  <si>
    <t>Consumer</t>
  </si>
  <si>
    <t>Cold deck</t>
  </si>
  <si>
    <t>LA</t>
  </si>
  <si>
    <t>Outside thesis — consumer social</t>
  </si>
  <si>
    <t>Polite pass email sent</t>
  </si>
  <si>
    <t>LD-010</t>
  </si>
  <si>
    <t>Example Advanced Co</t>
  </si>
  <si>
    <t>exampledd.com</t>
  </si>
  <si>
    <t>B2B SaaS</t>
  </si>
  <si>
    <t>LP intro</t>
  </si>
  <si>
    <t>Partner approved; DD checklist opened</t>
  </si>
  <si>
    <t>Link company name to Needs Completed Entity</t>
  </si>
  <si>
    <t>Tage VC — Lead Tasks Active</t>
  </si>
  <si>
    <t>Pre-DD tasks per company. Move done rows to Lead Tasks Done.</t>
  </si>
  <si>
    <t>Open tasks</t>
  </si>
  <si>
    <t>Critical / High</t>
  </si>
  <si>
    <t>Task ID</t>
  </si>
  <si>
    <t>Process Stage</t>
  </si>
  <si>
    <t>Task</t>
  </si>
  <si>
    <t>Due Date</t>
  </si>
  <si>
    <t>Evidence / Link</t>
  </si>
  <si>
    <t>LT-001</t>
  </si>
  <si>
    <t>Write 1-pager + recommendation for partner</t>
  </si>
  <si>
    <t>Include comps and kill criteria</t>
  </si>
  <si>
    <t>Sourcing Ops</t>
  </si>
  <si>
    <t>LT-002</t>
  </si>
  <si>
    <t>Prep call agenda; review deck + metrics</t>
  </si>
  <si>
    <t>LT-003</t>
  </si>
  <si>
    <t>Thesis fit screen (stage, sector, geo, check size)</t>
  </si>
  <si>
    <t>Hardware may be edge of mandate</t>
  </si>
  <si>
    <t>LT-004</t>
  </si>
  <si>
    <t>Handoff: open DD checklist + request data room</t>
  </si>
  <si>
    <t>Match Entity name on Needs Completed</t>
  </si>
  <si>
    <t>Tage VC — Lead Tasks Done (Log)</t>
  </si>
  <si>
    <t>Completed evaluation tasks. Paste from Lead Tasks Active; set Date Completed.</t>
  </si>
  <si>
    <t>Done count</t>
  </si>
  <si>
    <t>Date Completed</t>
  </si>
  <si>
    <t>Completed By</t>
  </si>
  <si>
    <t>LT-000</t>
  </si>
  <si>
    <t>Passed thesis screen</t>
  </si>
  <si>
    <t>Tage VC — Lead Process Library</t>
  </si>
  <si>
    <t>Copy into Lead Tasks Active when a company enters a stage.</t>
  </si>
  <si>
    <t>Lib ID</t>
  </si>
  <si>
    <t>Default Priority</t>
  </si>
  <si>
    <t>Owner Role</t>
  </si>
  <si>
    <t>What Good Looks Like</t>
  </si>
  <si>
    <t>LS-01</t>
  </si>
  <si>
    <t>Log lead with source, sector, raise stage, owner</t>
  </si>
  <si>
    <t>Complete Pipeline Active row; unique Lead ID</t>
  </si>
  <si>
    <t>LS-02</t>
  </si>
  <si>
    <t>Capture deck / one-pager / website in Evidence</t>
  </si>
  <si>
    <t>Materials linked same day as intake</t>
  </si>
  <si>
    <t>LS-03</t>
  </si>
  <si>
    <t>Acknowledge inbound or thank referrer within 48h</t>
  </si>
  <si>
    <t>Referrer loop closed; founder knows next step</t>
  </si>
  <si>
    <t>LS-04</t>
  </si>
  <si>
    <t>Outbound: personalized first touch + follow-up plan</t>
  </si>
  <si>
    <t>2–3 touch sequence scheduled</t>
  </si>
  <si>
    <t>LS-05</t>
  </si>
  <si>
    <t>Pass/fail vs fund mandate before deep time</t>
  </si>
  <si>
    <t>LS-06</t>
  </si>
  <si>
    <t>Quick market map: category, comps, timing</t>
  </si>
  <si>
    <t>1-page view of space and positioning</t>
  </si>
  <si>
    <t>LS-07</t>
  </si>
  <si>
    <t>Team skim: founders LinkedIn, prior companies, signals</t>
  </si>
  <si>
    <t>Notable strengths/red flags noted</t>
  </si>
  <si>
    <t>LS-08</t>
  </si>
  <si>
    <t>Traction skim: revenue/users/growth if available</t>
  </si>
  <si>
    <t>Metrics logged; holes listed for call</t>
  </si>
  <si>
    <t>LS-09</t>
  </si>
  <si>
    <t>Decide: First Call / Pass / Nurture — update Stage</t>
  </si>
  <si>
    <t>Explicit decision + reason in Notes</t>
  </si>
  <si>
    <t>LS-10</t>
  </si>
  <si>
    <t>If Pass: send polite decline; close Pipeline row</t>
  </si>
  <si>
    <t>Outcome + reason on Pipeline Closed</t>
  </si>
  <si>
    <t>LS-11</t>
  </si>
  <si>
    <t>Prep call agenda; review deck + open questions</t>
  </si>
  <si>
    <t>Agenda covers problem, product, GTM, ask</t>
  </si>
  <si>
    <t>LS-12</t>
  </si>
  <si>
    <t>Hold founder call; take structured notes</t>
  </si>
  <si>
    <t>Notes in CRM/Evidence within 24h</t>
  </si>
  <si>
    <t>LS-13</t>
  </si>
  <si>
    <t>Score Thesis Fit + Score (1-5) on Pipeline</t>
  </si>
  <si>
    <t>Fit and score updated same day</t>
  </si>
  <si>
    <t>LS-14</t>
  </si>
  <si>
    <t>Debrief: advance to Partner Meeting, Pass, or more info</t>
  </si>
  <si>
    <t>Stage + Next Action set</t>
  </si>
  <si>
    <t>LS-15</t>
  </si>
  <si>
    <t>Send process email / timeline expectations to founder</t>
  </si>
  <si>
    <t>Founder knows what happens next</t>
  </si>
  <si>
    <t>LS-16</t>
  </si>
  <si>
    <t>Includes thesis, risks, kill criteria, ask</t>
  </si>
  <si>
    <t>LS-17</t>
  </si>
  <si>
    <t>Schedule partner / deal team meeting with founder</t>
  </si>
  <si>
    <t>Calendar held; materials pre-read</t>
  </si>
  <si>
    <t>LS-18</t>
  </si>
  <si>
    <t>Partner debrief: go / no-go / more work</t>
  </si>
  <si>
    <t>Written decision owner + date</t>
  </si>
  <si>
    <t>LS-19</t>
  </si>
  <si>
    <t>Light reference or expert call if needed pre-DD</t>
  </si>
  <si>
    <t>Notes filed; does not replace full DD refs</t>
  </si>
  <si>
    <t>LS-20</t>
  </si>
  <si>
    <t>Competitive deep-dive and positioning memo</t>
  </si>
  <si>
    <t>Clear why-us vs alternatives</t>
  </si>
  <si>
    <t>LS-21</t>
  </si>
  <si>
    <t>Unit economics / model sanity check (light)</t>
  </si>
  <si>
    <t>Flags for full DD financial workstream</t>
  </si>
  <si>
    <t>LS-22</t>
  </si>
  <si>
    <t>Confirm round dynamics, timing, other investors</t>
  </si>
  <si>
    <t>Process calendar and lead status known</t>
  </si>
  <si>
    <t>LS-23</t>
  </si>
  <si>
    <t>Internal alignment on ownership / check size target</t>
  </si>
  <si>
    <t>Check size on Pipeline matches mandate</t>
  </si>
  <si>
    <t>LS-24</t>
  </si>
  <si>
    <t>Partner formal approval to open full DD</t>
  </si>
  <si>
    <t>Outcome Advanced to DD on Pipeline Closed</t>
  </si>
  <si>
    <t>LS-25</t>
  </si>
  <si>
    <t>Entity name matches Needs Completed exactly</t>
  </si>
  <si>
    <t>LS-26</t>
  </si>
  <si>
    <t>Notify founder of DD kickoff + request list</t>
  </si>
  <si>
    <t>Clear owner and response SLA</t>
  </si>
  <si>
    <t>LS-27</t>
  </si>
  <si>
    <t>Weekly source review: which channels convert</t>
  </si>
  <si>
    <t>Closed log used for source ROI</t>
  </si>
  <si>
    <t>LS-28</t>
  </si>
  <si>
    <t>Nurture list touch for interesting Pass/Weak fits</t>
  </si>
  <si>
    <t>No dead silent passes of future-relevant cos</t>
  </si>
  <si>
    <t>LS-29</t>
  </si>
  <si>
    <t>Scout / referrer feedback loop after outcomes</t>
  </si>
  <si>
    <t>Top sources thanked and calibrated</t>
  </si>
  <si>
    <t>LS-30</t>
  </si>
  <si>
    <t>Stale lead sweep (no touch &gt;14 or 30 days)</t>
  </si>
  <si>
    <t>Advance, nurture, or close — no zombie rows</t>
  </si>
  <si>
    <t>Tage VC — Pipeline Notes</t>
  </si>
  <si>
    <t>Cover everything before formal due diligence: source leads, screen against thesis, run first conversations, partner review, then hand off to the DD tracker (Needs Completed).</t>
  </si>
  <si>
    <t>Sheet map</t>
  </si>
  <si>
    <t>Pipeline Active — one row per live company (funnel CRM).</t>
  </si>
  <si>
    <t>Pipeline Closed — Advanced to DD / Pass / Lost / Withdrawn (source ROI + learning).</t>
  </si>
  <si>
    <t>Lead Tasks Active — evaluation process tasks tied to Company + Lead ID.</t>
  </si>
  <si>
    <t>Lead Tasks Done — completed eval task archive.</t>
  </si>
  <si>
    <t>Lead Process Library — 30 standard sourcing/eval steps by stage.</t>
  </si>
  <si>
    <t>Pipeline Notes — this guide. Links to DD sheets: Needs Completed / Completed / Checklist Library.</t>
  </si>
  <si>
    <t>Funnel stages (Pipeline Stage)</t>
  </si>
  <si>
    <t>1. Sourced — logged, materials requested, first touch.</t>
  </si>
  <si>
    <t>2. Screened — thesis fit + light desk research; decide call / pass / nurture.</t>
  </si>
  <si>
    <t>3. First Call — founder meeting, score fit, debrief.</t>
  </si>
  <si>
    <t>4. Partner Meeting — 1-pager, partner/deal team with founder, go/no-go.</t>
  </si>
  <si>
    <t>5. Deep Dive Prep — light competitive/financial prep + round dynamics (still pre-DD).</t>
  </si>
  <si>
    <t>6. Ready for DD — partner approved; hand off to DD checklist, then close pipeline row.</t>
  </si>
  <si>
    <t>1. New lead → add Pipeline Active row (LD-###) → copy stage tasks from Lead Process Library into Lead Tasks Active.</t>
  </si>
  <si>
    <t>2. Work tasks; keep Next Action + Next Action Date + Last Touch current on the pipeline row.</t>
  </si>
  <si>
    <t>3. Advance Pipeline Stage only when stage exit criteria are met (see Library What Good Looks Like).</t>
  </si>
  <si>
    <t>4. Pass anytime → move company to Pipeline Closed (Outcome=Pass + reason). Close open tasks or cancel with note.</t>
  </si>
  <si>
    <t>5. Ready for DD → Outcome=Advanced to DD on Closed → spawn Entity on Needs Completed from DD Checklist Library (same company name).</t>
  </si>
  <si>
    <t>6. Complete eval tasks → move to Lead Tasks Done with Date Completed.</t>
  </si>
  <si>
    <t>Close outcomes</t>
  </si>
  <si>
    <t>Advanced to DD | Pass | Lost (chose other firm) | Withdrawn | Nurture archive (optional). Always write Outcome Reason.</t>
  </si>
  <si>
    <t>Best practices</t>
  </si>
  <si>
    <t>Thesis screen before deep hours. Warm intros convert best — tag Source carefully for ROI.</t>
  </si>
  <si>
    <t>Every active row needs a dated Next Action (no zombies). Sweep stale touches weekly (LS-30).</t>
  </si>
  <si>
    <t>Score early; update after each stage. Kill criteria on the 1-pager before partner time.</t>
  </si>
  <si>
    <t>Handoff rule: Company name on Pipeline = Entity on DD tracker exactly.</t>
  </si>
  <si>
    <t>Pre-DD is judgment + speed; full DD is evidence. Do not pretend light screen is DD.</t>
  </si>
  <si>
    <t>Cursor / automation tips</t>
  </si>
  <si>
    <t>Tables: TablePipeline, TablePipelineClosed, TableLeadTasks, TableLeadTasksDone, TableLeadProcess.</t>
  </si>
  <si>
    <t>Keys: Lead ID (LD-###) and Task ID (LT-###). Company string joins pipeline ↔ tasks ↔ DD Entity.</t>
  </si>
  <si>
    <t>Agent ideas: intake lead from email/deck; spawn stage tasks; advance stage; close Pass/Advanced; open DD pack; stale-lead report; source conversion stats.</t>
  </si>
  <si>
    <t>Keep enum values exact (dropdowns) so scripts do not fork on synonyms.</t>
  </si>
  <si>
    <t>Last built</t>
  </si>
  <si>
    <t>2026-03-22 — lead pipeline + pre-DD process</t>
  </si>
  <si>
    <t>Tage VC — DD Needs Completed (Active)</t>
  </si>
  <si>
    <t>Open queue — move finished rows to Completed. Blue = inputs.</t>
  </si>
  <si>
    <t>Open items</t>
  </si>
  <si>
    <t>Entities</t>
  </si>
  <si>
    <t>Growth</t>
  </si>
  <si>
    <t>Category</t>
  </si>
  <si>
    <t>Checklist Item</t>
  </si>
  <si>
    <t>Deal Stage</t>
  </si>
  <si>
    <t>DD-001</t>
  </si>
  <si>
    <t>Team</t>
  </si>
  <si>
    <t>Founder backgrounds, prior exits/failures, domain expertise</t>
  </si>
  <si>
    <t>Reference calls scheduled with 2 prior co-founders</t>
  </si>
  <si>
    <t>DD-002</t>
  </si>
  <si>
    <t>Market</t>
  </si>
  <si>
    <t>TAM / SAM / SOM and bottom-up market sizing</t>
  </si>
  <si>
    <t>DD-003</t>
  </si>
  <si>
    <t>Product</t>
  </si>
  <si>
    <t>MVP / product demo; roadmap and tech stack review</t>
  </si>
  <si>
    <t>DD-004</t>
  </si>
  <si>
    <t>Legal</t>
  </si>
  <si>
    <t>Cap table, incorporation docs, shareholder agreements</t>
  </si>
  <si>
    <t>Counsel</t>
  </si>
  <si>
    <t>Waiting on data room access from founder</t>
  </si>
  <si>
    <t>DD-005</t>
  </si>
  <si>
    <t>Financials</t>
  </si>
  <si>
    <t>Historical financials, burn rate, runway, use of funds</t>
  </si>
  <si>
    <t>Received P&amp;L through Feb; need cash flow bridge</t>
  </si>
  <si>
    <t>DD-006</t>
  </si>
  <si>
    <t>Traction</t>
  </si>
  <si>
    <t>CAC, LTV, retention/churn, pipeline and concentration</t>
  </si>
  <si>
    <t>Tax</t>
  </si>
  <si>
    <t>HR</t>
  </si>
  <si>
    <t>IT / Security</t>
  </si>
  <si>
    <t>Assets</t>
  </si>
  <si>
    <t>Risk</t>
  </si>
  <si>
    <t>Tage VC — DD Completed (Log)</t>
  </si>
  <si>
    <t>Archive log — paste finished rows; set Date Completed.</t>
  </si>
  <si>
    <t>Completed count</t>
  </si>
  <si>
    <t>Entities closed (distinct)</t>
  </si>
  <si>
    <t>DD-000</t>
  </si>
  <si>
    <t>Example Co</t>
  </si>
  <si>
    <t>Confirm Delaware C-Corp formation and good standing</t>
  </si>
  <si>
    <t>Certificate of good standing on file</t>
  </si>
  <si>
    <t>Tage VC — DD Checklist Library</t>
  </si>
  <si>
    <t>Master list — copy items into Needs Completed per deal.</t>
  </si>
  <si>
    <t>Typical Stages</t>
  </si>
  <si>
    <t>What Good Looks Like / Notes</t>
  </si>
  <si>
    <t>LIB-01</t>
  </si>
  <si>
    <t>All</t>
  </si>
  <si>
    <t>Relevant operating or technical experience; referenceable track record</t>
  </si>
  <si>
    <t>LIB-02</t>
  </si>
  <si>
    <t>Co-founder dynamics, equity split fairness, vesting &amp; roles</t>
  </si>
  <si>
    <t>Pre-Seed–A</t>
  </si>
  <si>
    <t>4-year vest / 1-year cliff standard; clear decision rights</t>
  </si>
  <si>
    <t>LIB-03</t>
  </si>
  <si>
    <t>Key hires plan, org chart, ability to recruit/retain</t>
  </si>
  <si>
    <t>Seed+</t>
  </si>
  <si>
    <t>Credible 12–18 mo hiring plan matched to use of funds</t>
  </si>
  <si>
    <t>LIB-04</t>
  </si>
  <si>
    <t>Founder references (ex-colleagues, investors, customers)</t>
  </si>
  <si>
    <t>At least 3 independent references; probe integrity and grit</t>
  </si>
  <si>
    <t>LIB-05</t>
  </si>
  <si>
    <t>Advisor / board composition and value-add</t>
  </si>
  <si>
    <t>Relevant domain advisors; no vanity-only boards</t>
  </si>
  <si>
    <t>LIB-06</t>
  </si>
  <si>
    <t>Bottom-up preferred; $1B+ path for classic VC</t>
  </si>
  <si>
    <t>LIB-07</t>
  </si>
  <si>
    <t>Problem severity, urgency, and willingness to pay</t>
  </si>
  <si>
    <t>Evidence from customers, not only founder narrative</t>
  </si>
  <si>
    <t>LIB-08</t>
  </si>
  <si>
    <t>Competitive landscape, substitutes, SWOT</t>
  </si>
  <si>
    <t>Clear differentiation vs direct and indirect competitors</t>
  </si>
  <si>
    <t>LIB-09</t>
  </si>
  <si>
    <t>Market timing / why now (tech, regulation, behavior)</t>
  </si>
  <si>
    <t>Structural tailwind, not a fad</t>
  </si>
  <si>
    <t>LIB-10</t>
  </si>
  <si>
    <t>Regulatory / industry structure risks</t>
  </si>
  <si>
    <t>Licenses, compliance path, policy exposure mapped</t>
  </si>
  <si>
    <t>LIB-11</t>
  </si>
  <si>
    <t>MVP / product demo; current state vs roadmap</t>
  </si>
  <si>
    <t>Working product; roadmap prioritized by customer value</t>
  </si>
  <si>
    <t>LIB-12</t>
  </si>
  <si>
    <t>Tech stack, architecture scalability, technical debt</t>
  </si>
  <si>
    <t>Can scale 10x without full rewrite; known debt documented</t>
  </si>
  <si>
    <t>LIB-13</t>
  </si>
  <si>
    <t>IP ownership: patents, trademarks, assignments from founders/contractors</t>
  </si>
  <si>
    <t>Company owns all core IP; contractor IP assigned</t>
  </si>
  <si>
    <t>LIB-14</t>
  </si>
  <si>
    <t>Defensibility / moat (data, network, switching costs, brand)</t>
  </si>
  <si>
    <t>Plausible compounding advantage over 3–5 years</t>
  </si>
  <si>
    <t>LIB-15</t>
  </si>
  <si>
    <t>Product-market fit signals (retention, NPS, waitlists, usage)</t>
  </si>
  <si>
    <t>Seed–B</t>
  </si>
  <si>
    <t>Strong retention cohorts; organic demand evidence</t>
  </si>
  <si>
    <t>LIB-16</t>
  </si>
  <si>
    <t>Revenue history, growth rate, and cohort trends</t>
  </si>
  <si>
    <t>Consistent growth; not one-off spikes</t>
  </si>
  <si>
    <t>LIB-17</t>
  </si>
  <si>
    <t>CAC, LTV, payback period, gross margin</t>
  </si>
  <si>
    <t>Series A+</t>
  </si>
  <si>
    <t>LTV/CAC &gt;3 healthy target (model-dependent)</t>
  </si>
  <si>
    <t>LIB-18</t>
  </si>
  <si>
    <t>Customer concentration and top-customer dependency</t>
  </si>
  <si>
    <t>No single customer &gt;20–25% without mitigation</t>
  </si>
  <si>
    <t>LIB-19</t>
  </si>
  <si>
    <t>Sales process, cycle length, win rates, pipeline quality</t>
  </si>
  <si>
    <t>Repeatable motion; not founder-only hero sales forever</t>
  </si>
  <si>
    <t>LIB-20</t>
  </si>
  <si>
    <t>Marketing channels, CAC by channel, brand positioning</t>
  </si>
  <si>
    <t>At least one scalable channel with unit economics</t>
  </si>
  <si>
    <t>LIB-21</t>
  </si>
  <si>
    <t>Customer references / case studies / churn analysis</t>
  </si>
  <si>
    <t>Direct customer calls; churn reasons understood</t>
  </si>
  <si>
    <t>LIB-22</t>
  </si>
  <si>
    <t>Historical financials (P&amp;L, BS, cash flow) and quality of books</t>
  </si>
  <si>
    <t>Clean books; no commingling; known accounting system</t>
  </si>
  <si>
    <t>LIB-23</t>
  </si>
  <si>
    <t>Burn rate, runway, and monthly cash bridge</t>
  </si>
  <si>
    <t>18+ months post-round preferred; clear burn drivers</t>
  </si>
  <si>
    <t>LIB-24</t>
  </si>
  <si>
    <t>Financial model, projections, and key assumptions stress test</t>
  </si>
  <si>
    <t>Assumptions explicit; downside case survives</t>
  </si>
  <si>
    <t>LIB-25</t>
  </si>
  <si>
    <t>Use of funds and milestone map to next raise/profitability</t>
  </si>
  <si>
    <t>Milestones de-risk next round or path to cashflow</t>
  </si>
  <si>
    <t>LIB-26</t>
  </si>
  <si>
    <t>Prior funding, SAFEs/notes, outstanding obligations</t>
  </si>
  <si>
    <t>Cap table fully modeled post-money; conversion clear</t>
  </si>
  <si>
    <t>LIB-27</t>
  </si>
  <si>
    <t>Accounts receivable/payable, debt, material contracts</t>
  </si>
  <si>
    <t>No hidden liabilities or toxic terms</t>
  </si>
  <si>
    <t>LIB-28</t>
  </si>
  <si>
    <t>Federal/state returns (as applicable) and tax correspondence</t>
  </si>
  <si>
    <t>Filings current; no open material disputes</t>
  </si>
  <si>
    <t>LIB-29</t>
  </si>
  <si>
    <t>409A valuations (if option grants)</t>
  </si>
  <si>
    <t>Recent independent 409A if equity compensation used</t>
  </si>
  <si>
    <t>LIB-30</t>
  </si>
  <si>
    <t>Incorporation, bylaws, good standing, jurisdiction</t>
  </si>
  <si>
    <t>Typically DE C-Corp for US VC path</t>
  </si>
  <si>
    <t>LIB-31</t>
  </si>
  <si>
    <t>Cap table, option pool, shareholder &amp; voting agreements</t>
  </si>
  <si>
    <t>Fully diluted clean; no unknown side letters</t>
  </si>
  <si>
    <t>LIB-32</t>
  </si>
  <si>
    <t>Pending/threatened litigation and disputes</t>
  </si>
  <si>
    <t>Material litigation disclosed with exposure estimate</t>
  </si>
  <si>
    <t>LIB-33</t>
  </si>
  <si>
    <t>Material customer, supplier, partner, and employment contracts</t>
  </si>
  <si>
    <t>Change-of-control, assignment, exclusivity reviewed</t>
  </si>
  <si>
    <t>LIB-34</t>
  </si>
  <si>
    <t>Licenses, permits, regulatory compliance status</t>
  </si>
  <si>
    <t>Required authorizations in place or clear path</t>
  </si>
  <si>
    <t>LIB-35</t>
  </si>
  <si>
    <t>Insurance policies (D&amp;O, E&amp;O, cyber, general)</t>
  </si>
  <si>
    <t>Coverage appropriate to risk profile</t>
  </si>
  <si>
    <t>LIB-36</t>
  </si>
  <si>
    <t>Employee/contractor census, agreements, comp bands</t>
  </si>
  <si>
    <t>Everyone on proper agreements; misclassification risk low</t>
  </si>
  <si>
    <t>LIB-37</t>
  </si>
  <si>
    <t>NDAs, invention assignment, non-solicit (as enforceable)</t>
  </si>
  <si>
    <t>All staff/contractors signed PIIA/CIIA equivalents</t>
  </si>
  <si>
    <t>LIB-38</t>
  </si>
  <si>
    <t>Benefits, equity plan docs, open offers</t>
  </si>
  <si>
    <t>Option plan board-approved; grant docs complete</t>
  </si>
  <si>
    <t>LIB-39</t>
  </si>
  <si>
    <t>Data security practices, privacy policy, breach history</t>
  </si>
  <si>
    <t>Sensible controls; no undisclosed breaches</t>
  </si>
  <si>
    <t>LIB-40</t>
  </si>
  <si>
    <t>Core systems, vendors, disaster recovery / BCP</t>
  </si>
  <si>
    <t>Critical vendors documented; backup/restore tested</t>
  </si>
  <si>
    <t>LIB-41</t>
  </si>
  <si>
    <t>Software licenses and open-source compliance</t>
  </si>
  <si>
    <t>No GPL contamination of proprietary core if relevant</t>
  </si>
  <si>
    <t>LIB-42</t>
  </si>
  <si>
    <t>Key tangible assets, leases, equipment schedules</t>
  </si>
  <si>
    <t>Material leases/terms known</t>
  </si>
  <si>
    <t>LIB-43</t>
  </si>
  <si>
    <t>Top 5 risks and mitigations (red-team the deal)</t>
  </si>
  <si>
    <t>Honest kill criteria documented for IC memo</t>
  </si>
  <si>
    <t>LIB-44</t>
  </si>
  <si>
    <t>Key-person dependency and succession contingency</t>
  </si>
  <si>
    <t>Business survives temporary founder unavailability</t>
  </si>
  <si>
    <t>LIB-45</t>
  </si>
  <si>
    <t>Thesis fit: stage, geo, sector, check size, ownership targets</t>
  </si>
  <si>
    <t>Pass/fail vs fund mandate before deep DD hours</t>
  </si>
  <si>
    <t>LIB-46</t>
  </si>
  <si>
    <t>Exit path realism (strategic acquirers, IPO path, secondary)</t>
  </si>
  <si>
    <t>Plausible 5–10y liquidity narratives with comps</t>
  </si>
  <si>
    <t>LIB-47</t>
  </si>
  <si>
    <t>Related-party transactions and conflicts</t>
  </si>
  <si>
    <t>All RPTs disclosed and arm’s-length or cleaned up</t>
  </si>
  <si>
    <t>LIB-48</t>
  </si>
  <si>
    <t>Data room completeness vs request list; open DD Qs log</t>
  </si>
  <si>
    <t>Tracked open items; no silent gaps at IC</t>
  </si>
  <si>
    <t>Tage VC — Notes</t>
  </si>
  <si>
    <t>Track due-diligence work across deals (entities). Keep only open work on Needs Completed. Archive finished work on Completed for logging and audit. Use Checklist Library as the reusable master list when spinning up a new deal.</t>
  </si>
  <si>
    <t>Needs Completed — live queue of open DD tasks (filter by Entity, Priority, Status, Owner).</t>
  </si>
  <si>
    <t>Completed — immutable-ish log. Paste finished rows here; set Date Completed + Completed By. Never delete history.</t>
  </si>
  <si>
    <t>Checklist Library — 48 standard VC DD items across Team, Market, Product, Traction, Financials, Tax, Legal, HR, IT/Security, Assets, Risk.</t>
  </si>
  <si>
    <t>Notes — this page (method, workflow, Cursor automation hints).</t>
  </si>
  <si>
    <t>Recommended workflow</t>
  </si>
  <si>
    <t>1. Thesis screen first (LIB-45): stage, geo, sector, check size. Kill misfits before deep hours.</t>
  </si>
  <si>
    <t>2. New deal: filter Library by stage → copy items into Needs Completed → set Entity, Added Date, Owner, Due Date, unique ID (DD-###).</t>
  </si>
  <si>
    <t>3. Weight by stage: Pre-Seed/Seed = Team + Market + Product + basic Legal/Financial hygiene. Series A+ = add Traction unit economics, deeper Financials, Legal, HR, Security.</t>
  </si>
  <si>
    <t>4. Work items; update Status (Not Started → In Progress → Waiting on Company / Blocked → Completed). Log evidence links and notes as you go.</t>
  </si>
  <si>
    <t>5. Complete: set Status=Completed on the active row → cut entire row → paste into Completed → fill Date Completed + Completed By → remove from Needs Completed.</t>
  </si>
  <si>
    <t>6. IC memo: export/filter by Entity; ensure Critical items are Completed or explicitly waived with Notes.</t>
  </si>
  <si>
    <t>Column definitions</t>
  </si>
  <si>
    <t>ID — stable key (DD-001…). Keep unique forever so Cursor/scripts can reference rows.</t>
  </si>
  <si>
    <t>Added Date — when the task entered the queue.</t>
  </si>
  <si>
    <t>Entity — company / deal name (consistent spelling for filters and automation).</t>
  </si>
  <si>
    <t>Category — Team | Market | Product | Traction | Financials | Tax | Legal | HR | IT / Security | Assets | Risk.</t>
  </si>
  <si>
    <t>Checklist Item — the concrete work unit (actionable, not vague).</t>
  </si>
  <si>
    <t>Priority — Critical / High / Medium / Low (color-coded).</t>
  </si>
  <si>
    <t>Status — Not Started | In Progress | Blocked | Waiting on Company | Completed.</t>
  </si>
  <si>
    <t>Owner — accountable person (Partner, Associate, Counsel, etc.).</t>
  </si>
  <si>
    <t>Due Date — internal deadline before IC or term sheet.</t>
  </si>
  <si>
    <t>Deal Stage — Pre-Seed through Growth (drives which library items matter).</t>
  </si>
  <si>
    <t>Notes — findings, blockers, waivers.</t>
  </si>
  <si>
    <t>Evidence / Link — data room path, drive URL, memo section.</t>
  </si>
  <si>
    <t>Date Completed / Completed By — archive-only fields for the log.</t>
  </si>
  <si>
    <t>Best-practice pillars (industry standard)</t>
  </si>
  <si>
    <t>Cover nine+ areas: Finance, Tax, Legal, HR, Assets, IT, Products/Services, Marketing &amp; Sales, Founder background — plus explicit Risk / thesis fit.</t>
  </si>
  <si>
    <t>Hard DD (numbers, docs) + Soft DD (team quality, culture, customer love). Early stage skews soft; later stage skews hard.</t>
  </si>
  <si>
    <t>Multi-pass screening: thesis filter → deal team deep dive → IC → confirmatory / external DD post–term sheet.</t>
  </si>
  <si>
    <t>Document kill criteria early. A checklist is worthless if every item is optional with no decision rule.</t>
  </si>
  <si>
    <t>Centralize in one system of record (this workbook or CRM). Avoid parallel shadow lists in email.</t>
  </si>
  <si>
    <t>Tables: TableActive, TableCompleted, TableLibrary — use structured refs or export CSV for agents.</t>
  </si>
  <si>
    <t>Stable ID column is the join key. Never reuse IDs after archive.</t>
  </si>
  <si>
    <t>Entity spelling must be canonical (one name per company) for bulk status updates and prompts.</t>
  </si>
  <si>
    <t>Suggested agent tasks: (1) spawn full Library→Active for a new Entity + stage; (2) mark item complete and move row Active→Completed with timestamp; (3) produce open Critical items by Entity for IC; (4) draft data-room request list from open Legal/Financials rows.</t>
  </si>
  <si>
    <t>Keep Status and Priority enums exactly as dropdown values so scripts do not fork on synonyms.</t>
  </si>
  <si>
    <t>Evidence / Link column is ideal for tool output paths (repo, Notion, Drive) when Cursor executes work.</t>
  </si>
  <si>
    <t>Sources (starting points)</t>
  </si>
  <si>
    <t>Affinity VC DD checklist (finance, tax, legal, HR, assets, IT, product, marketing, founder).</t>
  </si>
  <si>
    <t>MicroVentures / stage-weighted DD (team &amp; market heavy early; metrics heavy later).</t>
  </si>
  <si>
    <t>Common pillars also include traction, moat, and explicit risk assessment frameworks used by institutional VCs.</t>
  </si>
  <si>
    <t>2026-03-22 — initial VC checklist workbook</t>
  </si>
  <si>
    <t>Tage VC — Deal Scorecard</t>
  </si>
  <si>
    <t>One scorecard per serious deal. Score 1–5. Weighted total drives IC go/no-go. Blue = inputs.</t>
  </si>
  <si>
    <t>DEAL IDENTITY</t>
  </si>
  <si>
    <t>Path (Launch/Partner/Exit)</t>
  </si>
  <si>
    <t>Raise stage</t>
  </si>
  <si>
    <t>Scorer</t>
  </si>
  <si>
    <t>Score date</t>
  </si>
  <si>
    <t>IC date</t>
  </si>
  <si>
    <t>WEIGHTED SCORE (1=weak … 5=exceptional)</t>
  </si>
  <si>
    <t>Pillar</t>
  </si>
  <si>
    <t>Weight</t>
  </si>
  <si>
    <t>Score 1-5</t>
  </si>
  <si>
    <t>Weighted</t>
  </si>
  <si>
    <t>Evidence / why</t>
  </si>
  <si>
    <t>Team / founders</t>
  </si>
  <si>
    <t>Prior exit + domain depth</t>
  </si>
  <si>
    <t>Market size &amp; timing</t>
  </si>
  <si>
    <t>Bottom-up SAM credible</t>
  </si>
  <si>
    <t>Product / moat</t>
  </si>
  <si>
    <t>Data network effects early</t>
  </si>
  <si>
    <t>Traction / unit economics</t>
  </si>
  <si>
    <t>NRR &gt;110%, CAC payback &lt;12m</t>
  </si>
  <si>
    <t>Deal terms / ownership</t>
  </si>
  <si>
    <t>Competitive; still 10%+ path</t>
  </si>
  <si>
    <t>Tage thesis / path fit</t>
  </si>
  <si>
    <t>Operator leverage clear</t>
  </si>
  <si>
    <t>Risk / complexity</t>
  </si>
  <si>
    <t>Moderate concentration risk</t>
  </si>
  <si>
    <t>TOTAL</t>
  </si>
  <si>
    <t>DECISION</t>
  </si>
  <si>
    <t>Score / 5</t>
  </si>
  <si>
    <t>IC decision</t>
  </si>
  <si>
    <t>Advance</t>
  </si>
  <si>
    <t>Conditions / kill criteria</t>
  </si>
  <si>
    <t>Confirm top-3 customer refs; ownership ≥10% post-money</t>
  </si>
  <si>
    <t>UPSIDE FRAME</t>
  </si>
  <si>
    <t>Base case</t>
  </si>
  <si>
    <t>Category leader; strategic exit 5–7y</t>
  </si>
  <si>
    <t>Bull case</t>
  </si>
  <si>
    <t>Multi-vertical platform; $100m+ ARR path</t>
  </si>
  <si>
    <t>Bear case</t>
  </si>
  <si>
    <t>Niche stall; secondary only</t>
  </si>
  <si>
    <t>Tage value-add</t>
  </si>
  <si>
    <t>GTM, recruiting, partnerships, board ops</t>
  </si>
  <si>
    <t>5=top decile · 4=strong · 3=ok · 2=weak · 1=red flag. Risk: 5=clean, 1=severe. Launch weights Team/Market; Partner Traction/Terms; Exit Risk/Terms.</t>
  </si>
  <si>
    <t>Tage VC — Financial Model</t>
  </si>
  <si>
    <t>Per-deal model. Blue = company/assumptions inputs. Links to scorecard judgment; does not replace full quality of earnings.</t>
  </si>
  <si>
    <t>COMPANY &amp; ROUND</t>
  </si>
  <si>
    <t>Instrument</t>
  </si>
  <si>
    <t>Priced Equity</t>
  </si>
  <si>
    <t>Pre-money ($m)</t>
  </si>
  <si>
    <t>Raise size ($m)</t>
  </si>
  <si>
    <t>Tage check ($m)</t>
  </si>
  <si>
    <t>Post-money ($m)</t>
  </si>
  <si>
    <t>Tage ownership %</t>
  </si>
  <si>
    <t>Option pool post %</t>
  </si>
  <si>
    <t>TRACTION &amp; UNIT ECONOMICS (TTM / current)</t>
  </si>
  <si>
    <t>ARR growth YoY</t>
  </si>
  <si>
    <t>Gross margin</t>
  </si>
  <si>
    <t>Net revenue retention</t>
  </si>
  <si>
    <t>Logo churn (annual)</t>
  </si>
  <si>
    <t>CAC ($)</t>
  </si>
  <si>
    <t>LTV ($)</t>
  </si>
  <si>
    <t>LTV / CAC</t>
  </si>
  <si>
    <t>CAC payback (months)</t>
  </si>
  <si>
    <t>Gross burn ($k/mo)</t>
  </si>
  <si>
    <t>Net burn ($k/mo)</t>
  </si>
  <si>
    <t>Runway months (pre-round)</t>
  </si>
  <si>
    <t>Runway months (post Tage+round approx)</t>
  </si>
  <si>
    <t>FORWARD ARR PATH ($k)</t>
  </si>
  <si>
    <t>Year</t>
  </si>
  <si>
    <t>0 (now)</t>
  </si>
  <si>
    <t>Growth rate</t>
  </si>
  <si>
    <t>RETURNS (simplified ownership held to exit)</t>
  </si>
  <si>
    <t>Exit year</t>
  </si>
  <si>
    <t>Exit ARR multiple</t>
  </si>
  <si>
    <t>Exit ARR ($k)</t>
  </si>
  <si>
    <t>Exit enterprise value ($m)</t>
  </si>
  <si>
    <t>Dilution to exit (remaining ownership factor)</t>
  </si>
  <si>
    <t>Tage ownership at exit</t>
  </si>
  <si>
    <t>Tage proceeds ($m)</t>
  </si>
  <si>
    <t>MOIC</t>
  </si>
  <si>
    <t>Approx gross IRR (simple)</t>
  </si>
  <si>
    <t>SENSITIVITY — Exit multiple vs ARR Y5 ($m EV)</t>
  </si>
  <si>
    <t>ARR Y5 \ Mult</t>
  </si>
  <si>
    <t>WHAT TO LOOK FOR (UPSIDE FILTERS)</t>
  </si>
  <si>
    <t>Filter</t>
  </si>
  <si>
    <t>Healthy signal</t>
  </si>
  <si>
    <t>This deal</t>
  </si>
  <si>
    <t>LTV/CAC</t>
  </si>
  <si>
    <t>&gt; 3x</t>
  </si>
  <si>
    <t>NRR</t>
  </si>
  <si>
    <t>&gt; 100% (prefer &gt;110%)</t>
  </si>
  <si>
    <t>&gt; 70% software / path</t>
  </si>
  <si>
    <t>Post-round runway</t>
  </si>
  <si>
    <t>&gt; 18 months</t>
  </si>
  <si>
    <t>Ownership</t>
  </si>
  <si>
    <t>Meaningful (≥8–15% stage-dependent)</t>
  </si>
  <si>
    <t>MOIC base</t>
  </si>
  <si>
    <t>&gt; 3x for venture path</t>
  </si>
  <si>
    <t>Tage VC — Deal Active</t>
  </si>
  <si>
    <t>IC Approved</t>
  </si>
  <si>
    <t>One row per live deal post-DD. Close when Wired/Closed or Dead.</t>
  </si>
  <si>
    <t>Term Sheet</t>
  </si>
  <si>
    <t>SAFE</t>
  </si>
  <si>
    <t>Confirmatory DD</t>
  </si>
  <si>
    <t>Convertible Note</t>
  </si>
  <si>
    <t>Docs Drafting</t>
  </si>
  <si>
    <t>Active deals</t>
  </si>
  <si>
    <t>In closing</t>
  </si>
  <si>
    <t>Term sheet out</t>
  </si>
  <si>
    <t>Critical priority</t>
  </si>
  <si>
    <t>Signing Ready</t>
  </si>
  <si>
    <t>Closing Conditions</t>
  </si>
  <si>
    <t>Deal ID</t>
  </si>
  <si>
    <t>Execution Stage</t>
  </si>
  <si>
    <t>Pre-Money ($m)</t>
  </si>
  <si>
    <t>Target Own %</t>
  </si>
  <si>
    <t>TS Sent Date</t>
  </si>
  <si>
    <t>TS Signed Date</t>
  </si>
  <si>
    <t>Exclusivity End</t>
  </si>
  <si>
    <t>Target Close</t>
  </si>
  <si>
    <t>Wired / Closed</t>
  </si>
  <si>
    <t>DE-001</t>
  </si>
  <si>
    <t>Firm Counsel</t>
  </si>
  <si>
    <t>Draft term sheet; partner approve economics</t>
  </si>
  <si>
    <t>DD complete; IC passed 3/21</t>
  </si>
  <si>
    <t>Post-Close</t>
  </si>
  <si>
    <t>DE-002</t>
  </si>
  <si>
    <t>SPA markup round 2 with co counsel</t>
  </si>
  <si>
    <t>TS signed; board seat agreed</t>
  </si>
  <si>
    <t>Tage VC — Deal Closed (Log)</t>
  </si>
  <si>
    <t>Wired/Closed or Dead deals. Keep for portfolio handoff and learning.</t>
  </si>
  <si>
    <t>Dead</t>
  </si>
  <si>
    <t>Paused</t>
  </si>
  <si>
    <t>Wired/Closed</t>
  </si>
  <si>
    <t>Final Own %</t>
  </si>
  <si>
    <t>Close Date</t>
  </si>
  <si>
    <t>DE-000</t>
  </si>
  <si>
    <t>LD-099</t>
  </si>
  <si>
    <t>Closed on SAFE; post-close portfolio kickoff done</t>
  </si>
  <si>
    <t>Handed to portfolio ops</t>
  </si>
  <si>
    <t>Tage VC — Deal Tasks Active</t>
  </si>
  <si>
    <t>IC → term sheet → docs → close tasks. Move done rows to Deal Tasks Done.</t>
  </si>
  <si>
    <t>DT-001</t>
  </si>
  <si>
    <t>Draft term sheet economics and key rights</t>
  </si>
  <si>
    <t>IC approved economics band</t>
  </si>
  <si>
    <t>DT-002</t>
  </si>
  <si>
    <t>SPA / investment docs markup and issue list</t>
  </si>
  <si>
    <t>Round 2 open points on liability cap</t>
  </si>
  <si>
    <t>DT-003</t>
  </si>
  <si>
    <t>Charter / COI amendments and board consents drafted</t>
  </si>
  <si>
    <t>Tage VC — Deal Tasks Done (Log)</t>
  </si>
  <si>
    <t>Completed execution tasks. Paste from Deal Tasks Active; set Date Completed.</t>
  </si>
  <si>
    <t>DT-000</t>
  </si>
  <si>
    <t>Negotiate and sign term sheet</t>
  </si>
  <si>
    <t>Signed 3/12</t>
  </si>
  <si>
    <t>Tage VC — Deal Process Library</t>
  </si>
  <si>
    <t>Copy into Deal Tasks Active when a deal enters each stage.</t>
  </si>
  <si>
    <t>DX-01</t>
  </si>
  <si>
    <t>Finalize IC memo with DD findings and recommendation</t>
  </si>
  <si>
    <t>Memo includes risks, kill criteria, return case</t>
  </si>
  <si>
    <t>DX-02</t>
  </si>
  <si>
    <t>Hold IC; record vote and any conditions</t>
  </si>
  <si>
    <t>Written approval + conditions logged</t>
  </si>
  <si>
    <t>DX-03</t>
  </si>
  <si>
    <t>Open Deal Active row (DE-###); link Lead ID + Company</t>
  </si>
  <si>
    <t>Same Company string as DD Entity</t>
  </si>
  <si>
    <t>DX-04</t>
  </si>
  <si>
    <t>Engage counsel; open matter and conflict check</t>
  </si>
  <si>
    <t>Counsel assigned on Deal Active</t>
  </si>
  <si>
    <t>DX-05</t>
  </si>
  <si>
    <t>Valuation, check, ownership, board, pool, pro rata</t>
  </si>
  <si>
    <t>DX-06</t>
  </si>
  <si>
    <t>Internal review of TS vs IC authority</t>
  </si>
  <si>
    <t>Within IC band or re-approval noted</t>
  </si>
  <si>
    <t>DX-07</t>
  </si>
  <si>
    <t>Send TS to founder / company counsel</t>
  </si>
  <si>
    <t>TS Sent Date set</t>
  </si>
  <si>
    <t>DX-08</t>
  </si>
  <si>
    <t>Negotiate TS markups; track open commercial points</t>
  </si>
  <si>
    <t>Issue list current until signed</t>
  </si>
  <si>
    <t>DX-09</t>
  </si>
  <si>
    <t>Sign term sheet; set exclusivity / no-shop end date</t>
  </si>
  <si>
    <t>TS Signed + Exclusivity End populated</t>
  </si>
  <si>
    <t>DX-10</t>
  </si>
  <si>
    <t>Announce process timeline and working group</t>
  </si>
  <si>
    <t>Target Close agreed with company</t>
  </si>
  <si>
    <t>DX-11</t>
  </si>
  <si>
    <t>Confirmatory legal DD request list to company counsel</t>
  </si>
  <si>
    <t>Aligned with open DD tracker items</t>
  </si>
  <si>
    <t>DX-12</t>
  </si>
  <si>
    <t>Bring-down financials / cap table refresh</t>
  </si>
  <si>
    <t>No material adverse surprises vs IC</t>
  </si>
  <si>
    <t>DX-13</t>
  </si>
  <si>
    <t>IP assignments, employment, and contractor cleanup</t>
  </si>
  <si>
    <t>All core IP owned by company</t>
  </si>
  <si>
    <t>DX-14</t>
  </si>
  <si>
    <t>Resolve IC conditions and residual red flags</t>
  </si>
  <si>
    <t>Conditions closed or waived in writing</t>
  </si>
  <si>
    <t>DX-15</t>
  </si>
  <si>
    <t>SPA / investment agreement first draft</t>
  </si>
  <si>
    <t>Reflects signed TS</t>
  </si>
  <si>
    <t>DX-16</t>
  </si>
  <si>
    <t>IRA, voting, ROFR/co-sale, side letters as needed</t>
  </si>
  <si>
    <t>Package complete for company counsel</t>
  </si>
  <si>
    <t>DX-17</t>
  </si>
  <si>
    <t>Ready for stockholder approval path</t>
  </si>
  <si>
    <t>DX-18</t>
  </si>
  <si>
    <t>SPA markup rounds; maintain issue list to zero</t>
  </si>
  <si>
    <t>No material open points before signing</t>
  </si>
  <si>
    <t>DX-19</t>
  </si>
  <si>
    <t>Disclosure schedules review</t>
  </si>
  <si>
    <t>Schedules match DD knowledge</t>
  </si>
  <si>
    <t>DX-20</t>
  </si>
  <si>
    <t>Final docs frozen; signature packets prepared</t>
  </si>
  <si>
    <t>All parties on final forms</t>
  </si>
  <si>
    <t>DX-21</t>
  </si>
  <si>
    <t>Fund internal approvals / LP notices if required</t>
  </si>
  <si>
    <t>Authority to wire confirmed</t>
  </si>
  <si>
    <t>DX-22</t>
  </si>
  <si>
    <t>Funds flow / wiring instructions verified</t>
  </si>
  <si>
    <t>Ops</t>
  </si>
  <si>
    <t>Bank details dual-verified</t>
  </si>
  <si>
    <t>DX-23</t>
  </si>
  <si>
    <t>Closing checklist: consents, good standing, bring-down</t>
  </si>
  <si>
    <t>All CPs satisfied or waived</t>
  </si>
  <si>
    <t>DX-24</t>
  </si>
  <si>
    <t>Officer certificates and secretary certificates</t>
  </si>
  <si>
    <t>Executed and dated correctly</t>
  </si>
  <si>
    <t>DX-25</t>
  </si>
  <si>
    <t>Cap table / option pool final pre-close</t>
  </si>
  <si>
    <t>Matches SPA schedules</t>
  </si>
  <si>
    <t>DX-26</t>
  </si>
  <si>
    <t>Execute docs; release signatures</t>
  </si>
  <si>
    <t>Fully executed set filed</t>
  </si>
  <si>
    <t>DX-27</t>
  </si>
  <si>
    <t>Wire funds; confirm receipt</t>
  </si>
  <si>
    <t>Wire confirmation + company ack</t>
  </si>
  <si>
    <t>DX-28</t>
  </si>
  <si>
    <t>Close Deal Active → Deal Closed (Wired/Closed)</t>
  </si>
  <si>
    <t>Close Date + final economics logged</t>
  </si>
  <si>
    <t>DX-29</t>
  </si>
  <si>
    <t>Stock certificates / book entry and cap table update</t>
  </si>
  <si>
    <t>Ownership reflected in system of record</t>
  </si>
  <si>
    <t>DX-30</t>
  </si>
  <si>
    <t>Board seat onboarding and first board calendar</t>
  </si>
  <si>
    <t>D&amp;O, calendar, materials process set</t>
  </si>
  <si>
    <t>DX-31</t>
  </si>
  <si>
    <t>Portfolio kickoff: reporting, metrics, value-add plan</t>
  </si>
  <si>
    <t>Owner and cadence assigned</t>
  </si>
  <si>
    <t>DX-32</t>
  </si>
  <si>
    <t>Archive data room + deal folder; lessons learned note</t>
  </si>
  <si>
    <t>Searchable archive for future deals</t>
  </si>
  <si>
    <t>Tage VC — Deal Notes</t>
  </si>
  <si>
    <t>After DD + IC: TS → docs → close → portfolio handoff.</t>
  </si>
  <si>
    <t>Deal Active — one row per live deal (economics + stage + dates).</t>
  </si>
  <si>
    <t>Deal Closed — Wired/Closed or Dead outcomes.</t>
  </si>
  <si>
    <t>Deal Tasks — execution checklist (lead/DD pattern).</t>
  </si>
  <si>
    <t>Deal Process Library — 32 standard IC→Close steps.</t>
  </si>
  <si>
    <t>Execution stages</t>
  </si>
  <si>
    <t>IC → Term Sheet → Confirmatory DD → Docs → Signing → CPs → Wire → Post-Close</t>
  </si>
  <si>
    <t>1. IC approve → open Deal Active (DE-###); match Company name.</t>
  </si>
  <si>
    <t>2. Spawn stage tasks from Deal Process Library.</t>
  </si>
  <si>
    <t>3. Sign TS; track exclusivity end and target close.</t>
  </si>
  <si>
    <t>4. Confirmatory DD + docs; issue list to zero.</t>
  </si>
  <si>
    <t>5. CPs → sign → wire → Deal Closed.</t>
  </si>
  <si>
    <t>6. Post-close tasks, then portfolio ownership.</t>
  </si>
  <si>
    <t>Keys for automation</t>
  </si>
  <si>
    <t>IDs DE/LD. Join on Company. See Data Dictionary.</t>
  </si>
  <si>
    <t>2026-03-22 — deal execution tracker</t>
  </si>
  <si>
    <t>Tage VC — M&amp;A Pipeline Active</t>
  </si>
  <si>
    <t>Platform acquisition</t>
  </si>
  <si>
    <t>One row per target company. Separate from VC check deals. Close when Closed or Walked.</t>
  </si>
  <si>
    <t>CIM Review</t>
  </si>
  <si>
    <t>Add-on / roll-up</t>
  </si>
  <si>
    <t>Management Meeting</t>
  </si>
  <si>
    <t>Merger</t>
  </si>
  <si>
    <t>Active targets</t>
  </si>
  <si>
    <t>In exclusivity</t>
  </si>
  <si>
    <t>LOI out</t>
  </si>
  <si>
    <t>IOI / Indication</t>
  </si>
  <si>
    <t>Asset purchase</t>
  </si>
  <si>
    <t>LOI / Exclusivity</t>
  </si>
  <si>
    <t>MA ID</t>
  </si>
  <si>
    <t>Target Company</t>
  </si>
  <si>
    <t>Deal Type</t>
  </si>
  <si>
    <t>MA Stage</t>
  </si>
  <si>
    <t>Enterprise Value ($m)</t>
  </si>
  <si>
    <t>Revenue ($m)</t>
  </si>
  <si>
    <t>EBITDA ($m)</t>
  </si>
  <si>
    <t>Strategic Fit</t>
  </si>
  <si>
    <t>MA-001</t>
  </si>
  <si>
    <t>Midwest Ops Co</t>
  </si>
  <si>
    <t>midwestops.example</t>
  </si>
  <si>
    <t>Business services</t>
  </si>
  <si>
    <t>Broker</t>
  </si>
  <si>
    <t>Quality of earnings kickoff</t>
  </si>
  <si>
    <t>Owner retirement; add-on pipeline exists</t>
  </si>
  <si>
    <t>Definitive Docs</t>
  </si>
  <si>
    <t>MA-002</t>
  </si>
  <si>
    <t>Regional Add-On LLC</t>
  </si>
  <si>
    <t>regionaladdon.example</t>
  </si>
  <si>
    <t>Proprietary</t>
  </si>
  <si>
    <t>Site visit + customer refs</t>
  </si>
  <si>
    <t>Bolt onto Midwest Ops platform thesis</t>
  </si>
  <si>
    <t>Closing</t>
  </si>
  <si>
    <t>Integration</t>
  </si>
  <si>
    <t>Tage VC — M&amp;A Pipeline Closed (Log)</t>
  </si>
  <si>
    <t>Acquired</t>
  </si>
  <si>
    <t>Acquired / Walked / Lost. Keep for thesis learning and broker ROI.</t>
  </si>
  <si>
    <t>Walked</t>
  </si>
  <si>
    <t>EV ($m)</t>
  </si>
  <si>
    <t>MA-000</t>
  </si>
  <si>
    <t>Example Walk Co</t>
  </si>
  <si>
    <t>Customer concentration + QoE gaps</t>
  </si>
  <si>
    <t>Lessons in QoE scope</t>
  </si>
  <si>
    <t>Tage VC — M&amp;A Tasks Active</t>
  </si>
  <si>
    <t>Acquisition work items. Move done rows to M&amp;A Tasks Done.</t>
  </si>
  <si>
    <t>MT-001</t>
  </si>
  <si>
    <t>Engage QoE / quality of earnings provider</t>
  </si>
  <si>
    <t>Scope normalized EBITDA</t>
  </si>
  <si>
    <t>MT-002</t>
  </si>
  <si>
    <t>Management presentation + org chart review</t>
  </si>
  <si>
    <t>Tage VC — M&amp;A Tasks Done (Log)</t>
  </si>
  <si>
    <t>Completed acquisition tasks. Paste from Active; set Date Completed.</t>
  </si>
  <si>
    <t>MT-000</t>
  </si>
  <si>
    <t>Negotiate and sign LOI + exclusivity</t>
  </si>
  <si>
    <t>45-day exclusivity</t>
  </si>
  <si>
    <t>Tage VC — M&amp;A Process Library</t>
  </si>
  <si>
    <t>Copy into M&amp;A Tasks Active when a target enters each stage.</t>
  </si>
  <si>
    <t>MA-01</t>
  </si>
  <si>
    <t>Log target: type (platform/add-on/merger), source, teaser</t>
  </si>
  <si>
    <t>MA-### row complete</t>
  </si>
  <si>
    <t>MA-02</t>
  </si>
  <si>
    <t>Strategic fit vs platform / roll-up thesis</t>
  </si>
  <si>
    <t>Fit Strong/Med/Weak set</t>
  </si>
  <si>
    <t>MA-03</t>
  </si>
  <si>
    <t>Review CIM / financials teaser; build first filter memo</t>
  </si>
  <si>
    <t>Pass/advance with reasons</t>
  </si>
  <si>
    <t>MA-04</t>
  </si>
  <si>
    <t>Normalize revenue/EBITDA; flag add-backs</t>
  </si>
  <si>
    <t>Bridge to M&amp;A Model inputs</t>
  </si>
  <si>
    <t>MA-05</t>
  </si>
  <si>
    <t>Management meeting / site visit agenda</t>
  </si>
  <si>
    <t>Org, customers, culture probed</t>
  </si>
  <si>
    <t>MA-06</t>
  </si>
  <si>
    <t>Customer and employee reference plan</t>
  </si>
  <si>
    <t>Refs scheduled under NDA</t>
  </si>
  <si>
    <t>MA-07</t>
  </si>
  <si>
    <t>Draft non-binding IOI valuation range + structure</t>
  </si>
  <si>
    <t>Cash/earnout/rollover sketch</t>
  </si>
  <si>
    <t>MA-08</t>
  </si>
  <si>
    <t>IC soft circle on IOI before send</t>
  </si>
  <si>
    <t>Authority documented</t>
  </si>
  <si>
    <t>MA-09</t>
  </si>
  <si>
    <t>Negotiate LOI: price, structure, exclusivity, key terms</t>
  </si>
  <si>
    <t>Signed LOI; exclusivity end dated</t>
  </si>
  <si>
    <t>MA-10</t>
  </si>
  <si>
    <t>Engage counsel; open deal room + request list</t>
  </si>
  <si>
    <t>Request list live</t>
  </si>
  <si>
    <t>MA-11</t>
  </si>
  <si>
    <t>Quality of earnings (QoE) engagement</t>
  </si>
  <si>
    <t>Normalized EBITDA locked</t>
  </si>
  <si>
    <t>MA-12</t>
  </si>
  <si>
    <t>Legal DD: contracts, employment, litigation, IP, real estate</t>
  </si>
  <si>
    <t>Issue list tracked</t>
  </si>
  <si>
    <t>MA-13</t>
  </si>
  <si>
    <t>Tax DD and structure memo</t>
  </si>
  <si>
    <t>Asset vs stock path clear</t>
  </si>
  <si>
    <t>MA-14</t>
  </si>
  <si>
    <t>Commercial DD: concentration, churn, pricing power</t>
  </si>
  <si>
    <t>Top customers validated</t>
  </si>
  <si>
    <t>MA-15</t>
  </si>
  <si>
    <t>Ops/IT/HR diligence for integration risk</t>
  </si>
  <si>
    <t>Systems and people map</t>
  </si>
  <si>
    <t>MA-16</t>
  </si>
  <si>
    <t>Update M&amp;A Model + Scorecard; IC full approval</t>
  </si>
  <si>
    <t>IC vote recorded</t>
  </si>
  <si>
    <t>MA-17</t>
  </si>
  <si>
    <t>SPA / APA draft and negotiation</t>
  </si>
  <si>
    <t>Reps, indemnities, escrow set</t>
  </si>
  <si>
    <t>MA-18</t>
  </si>
  <si>
    <t>Employment / rollover / non-compete packages</t>
  </si>
  <si>
    <t>Key people locked</t>
  </si>
  <si>
    <t>MA-19</t>
  </si>
  <si>
    <t>Financing / funds flow confirmed</t>
  </si>
  <si>
    <t>Sources &amp; uses final</t>
  </si>
  <si>
    <t>MA-20</t>
  </si>
  <si>
    <t>Closing checklist: consents, third-party, payoff letters</t>
  </si>
  <si>
    <t>All CPs satisfied</t>
  </si>
  <si>
    <t>MA-21</t>
  </si>
  <si>
    <t>Sign and fund; confirm wire and title transfer</t>
  </si>
  <si>
    <t>Closed; MA pipeline → Acquired</t>
  </si>
  <si>
    <t>MA-22</t>
  </si>
  <si>
    <t>Day-1 / Day-100 integration plan (see M&amp;A Integration)</t>
  </si>
  <si>
    <t>Owners and KPIs named</t>
  </si>
  <si>
    <t>MA-23</t>
  </si>
  <si>
    <t>Systems, brand, reporting cutover</t>
  </si>
  <si>
    <t>No silent operational break</t>
  </si>
  <si>
    <t>MA-24</t>
  </si>
  <si>
    <t>Synergy tracking vs model; 90-day review</t>
  </si>
  <si>
    <t>Partner + COO</t>
  </si>
  <si>
    <t>Variance explained</t>
  </si>
  <si>
    <t>Tage VC — M&amp;A Scorecard</t>
  </si>
  <si>
    <t>Score 1–5. Weights must sum to 100%. Blue = inputs.</t>
  </si>
  <si>
    <t>Deal type</t>
  </si>
  <si>
    <t>Evidence</t>
  </si>
  <si>
    <t>Strategic fit / thesis</t>
  </si>
  <si>
    <t>Core platform for roll-up</t>
  </si>
  <si>
    <t>Financial quality (QoE)</t>
  </si>
  <si>
    <t>Stable margins; clean books path</t>
  </si>
  <si>
    <t>Customer quality / concentration</t>
  </si>
  <si>
    <t>Top 5 = 38% revenue</t>
  </si>
  <si>
    <t>Management / culture retain</t>
  </si>
  <si>
    <t>GM stays 24 months</t>
  </si>
  <si>
    <t>Integration complexity</t>
  </si>
  <si>
    <t>Moderate IT debt</t>
  </si>
  <si>
    <t>Valuation / returns</t>
  </si>
  <si>
    <t>~7.5x EBITDA with synergies</t>
  </si>
  <si>
    <t>Legal / risk</t>
  </si>
  <si>
    <t>No material litigation known</t>
  </si>
  <si>
    <t>Pursue with conditions</t>
  </si>
  <si>
    <t>Conditions</t>
  </si>
  <si>
    <t>QoE confirms ≥$2.2m norm. EBITDA; escrow 10%; key man agreements</t>
  </si>
  <si>
    <t>Tage VC — M&amp;A Model</t>
  </si>
  <si>
    <t>Purchase price, leverage sketch, synergies, simple returns. Blue = inputs.</t>
  </si>
  <si>
    <t>TARGET &amp; PRICE</t>
  </si>
  <si>
    <t>LTM revenue</t>
  </si>
  <si>
    <t>Reported EBITDA</t>
  </si>
  <si>
    <t>Norm. EBITDA (QoE)</t>
  </si>
  <si>
    <t>EV / norm. EBITDA multiple</t>
  </si>
  <si>
    <t>Enterprise value</t>
  </si>
  <si>
    <t>Net debt / (cash)</t>
  </si>
  <si>
    <t>Equity value</t>
  </si>
  <si>
    <t>Cash at close %</t>
  </si>
  <si>
    <t>Seller rollover %</t>
  </si>
  <si>
    <t>Earnout % (of EV)</t>
  </si>
  <si>
    <t>Cash to sellers</t>
  </si>
  <si>
    <t>Rollover equity</t>
  </si>
  <si>
    <t>Earnout max</t>
  </si>
  <si>
    <t>SYNERGIES (annual run-rate)</t>
  </si>
  <si>
    <t>Cost synergies</t>
  </si>
  <si>
    <t>Revenue synergies (EBITDA impact)</t>
  </si>
  <si>
    <t>One-time integration cost</t>
  </si>
  <si>
    <t>Synergy-adj. EBITDA</t>
  </si>
  <si>
    <t>EV / synergy EBITDA</t>
  </si>
  <si>
    <t>SIMPLE RETURNS (5-yr hold sketch)</t>
  </si>
  <si>
    <t>EBITDA CAGR</t>
  </si>
  <si>
    <t>Exit EBITDA</t>
  </si>
  <si>
    <t>Exit multiple</t>
  </si>
  <si>
    <t>Exit EV</t>
  </si>
  <si>
    <t>Tage equity in at close (ex-rollover)</t>
  </si>
  <si>
    <t>Net debt at exit (assume constant)</t>
  </si>
  <si>
    <t>Exit equity value</t>
  </si>
  <si>
    <t>Tage ownership of equity %</t>
  </si>
  <si>
    <t>Tage exit proceeds</t>
  </si>
  <si>
    <t>MOIC (gross equity)</t>
  </si>
  <si>
    <t>Approx IRR</t>
  </si>
  <si>
    <t>FILTERS</t>
  </si>
  <si>
    <t>Multiple on norm. EBITDA ≤ 8x?</t>
  </si>
  <si>
    <t>Synergy multiple ≤ 7x?</t>
  </si>
  <si>
    <t>MOIC ≥ 2.0x?</t>
  </si>
  <si>
    <t>Tage VC — M&amp;A Integration</t>
  </si>
  <si>
    <t>After close. One plan per acquired company. Blue = inputs.</t>
  </si>
  <si>
    <t>Close date</t>
  </si>
  <si>
    <t>Integration lead (COO)</t>
  </si>
  <si>
    <t>WORKSTREAM</t>
  </si>
  <si>
    <t>Day-1</t>
  </si>
  <si>
    <t>Day-30</t>
  </si>
  <si>
    <t>Day-100</t>
  </si>
  <si>
    <t>People &amp; comms</t>
  </si>
  <si>
    <t>All-hands; retain key staff</t>
  </si>
  <si>
    <t>Roles clear; offer letters done</t>
  </si>
  <si>
    <t>Culture survey; org final</t>
  </si>
  <si>
    <t>COO + HR</t>
  </si>
  <si>
    <t>Customers</t>
  </si>
  <si>
    <t>Top-20 outreach</t>
  </si>
  <si>
    <t>No unexpected churn</t>
  </si>
  <si>
    <t>Cross-sell pilot live</t>
  </si>
  <si>
    <t>GM / Sales</t>
  </si>
  <si>
    <t>Finance / reporting</t>
  </si>
  <si>
    <t>Banking + cash controls</t>
  </si>
  <si>
    <t>Monthly pack in Tage format</t>
  </si>
  <si>
    <t>Budget locked; audit trail</t>
  </si>
  <si>
    <t>Systems / IT</t>
  </si>
  <si>
    <t>Access + security baseline</t>
  </si>
  <si>
    <t>Critical systems mapped</t>
  </si>
  <si>
    <t>Cutover plan executed</t>
  </si>
  <si>
    <t>IT / COO</t>
  </si>
  <si>
    <t>Synergies</t>
  </si>
  <si>
    <t>Synergy owners named</t>
  </si>
  <si>
    <t>25% run-rate captured</t>
  </si>
  <si>
    <t>75%+ vs model</t>
  </si>
  <si>
    <t>Legal / compliance</t>
  </si>
  <si>
    <t>Entity filings; insurance</t>
  </si>
  <si>
    <t>Contracts assignment done</t>
  </si>
  <si>
    <t>Open issues closed</t>
  </si>
  <si>
    <t>After Day-100: add company to Portfolio Active with health KPIs (same COO cadence as Launch cos).</t>
  </si>
  <si>
    <t>Tage VC — M&amp;A Notes</t>
  </si>
  <si>
    <t>Buy / merge / roll-up whole companies. Not the same as writing a VC check (Deal Active).</t>
  </si>
  <si>
    <t>When to use which track</t>
  </si>
  <si>
    <t>VC invest track (slate/taupe/cool): minority or growth equity; startup diligence; term sheet; portfolio as investor.</t>
  </si>
  <si>
    <t>M&amp;A track (steel gray tabs): control or platform buy; QoE; LOI; SPA/APA; integration into ops under COO.</t>
  </si>
  <si>
    <t>M&amp;A stages</t>
  </si>
  <si>
    <t>Sourced → CIM Review → Management Meeting → IOI → LOI/Exclusivity → Confirmatory DD → Definitive Docs → Closing → Integration</t>
  </si>
  <si>
    <t>IDs</t>
  </si>
  <si>
    <t>MA-### targets · MT-### tasks. After close → M&amp;A Integration then Portfolio Active.</t>
  </si>
  <si>
    <t>Sheets</t>
  </si>
  <si>
    <t>Pipeline Active/Closed · Tasks Active/Done · Process Library · Scorecard · Model · Integration · Notes</t>
  </si>
  <si>
    <t>Do not mix Company rows across VC Deal ID and MA ID without labeling deal type.</t>
  </si>
  <si>
    <t>Tage VC — RE Pipeline Active</t>
  </si>
  <si>
    <t>Residential</t>
  </si>
  <si>
    <t>RE sourcers live here. Route = Residential or Commercial. Separate from VC/M&amp;A business tracks.</t>
  </si>
  <si>
    <t>Screen</t>
  </si>
  <si>
    <t>Commercial</t>
  </si>
  <si>
    <t>Underwriting</t>
  </si>
  <si>
    <t>Under contract</t>
  </si>
  <si>
    <t>Offer</t>
  </si>
  <si>
    <t>LOI / PSA</t>
  </si>
  <si>
    <t>RE ID</t>
  </si>
  <si>
    <t>Asset / Address</t>
  </si>
  <si>
    <t>Route</t>
  </si>
  <si>
    <t>Asset Type</t>
  </si>
  <si>
    <t>Market / City</t>
  </si>
  <si>
    <t>RE Stage</t>
  </si>
  <si>
    <t>Sourcer</t>
  </si>
  <si>
    <t>Ask Price ($k)</t>
  </si>
  <si>
    <t>Offer ($k)</t>
  </si>
  <si>
    <t>NOI or Rent ($k/yr)</t>
  </si>
  <si>
    <t>Cap / Yield signal</t>
  </si>
  <si>
    <t>Diligence</t>
  </si>
  <si>
    <t>RE-001</t>
  </si>
  <si>
    <t>1842 Maple St, Indianapolis</t>
  </si>
  <si>
    <t>SFR value-add</t>
  </si>
  <si>
    <t>Indianapolis, IN</t>
  </si>
  <si>
    <t>Off-market / agent</t>
  </si>
  <si>
    <t>RE Sourcer — Resi</t>
  </si>
  <si>
    <t>ARV path</t>
  </si>
  <si>
    <t>Finish rehab budget + comps</t>
  </si>
  <si>
    <t>3bd/2ba; light value-add</t>
  </si>
  <si>
    <t>RE-002</t>
  </si>
  <si>
    <t>Carmel Flex — 12k SF</t>
  </si>
  <si>
    <t>Flex / industrial</t>
  </si>
  <si>
    <t>Carmel, IN</t>
  </si>
  <si>
    <t>Broker CIM</t>
  </si>
  <si>
    <t>RE Sourcer — CRE</t>
  </si>
  <si>
    <t>7.5% cap on offer</t>
  </si>
  <si>
    <t>Order Phase I + rent roll audit</t>
  </si>
  <si>
    <t>90% occupied; 2 tenants roll in 14 mo</t>
  </si>
  <si>
    <t>Onboard</t>
  </si>
  <si>
    <t>Tage VC — RE Pipeline Closed (Log)</t>
  </si>
  <si>
    <t>Purchased</t>
  </si>
  <si>
    <t>Purchased / Passed / Lost. Track sourcer hit rate by Route.</t>
  </si>
  <si>
    <t>Closed</t>
  </si>
  <si>
    <t>Close Price ($k)</t>
  </si>
  <si>
    <t>RE-000</t>
  </si>
  <si>
    <t>Sample Passed Duplex</t>
  </si>
  <si>
    <t>2–4 unit</t>
  </si>
  <si>
    <t>Indy</t>
  </si>
  <si>
    <t>Rehab risk &gt; underwrite hurdle</t>
  </si>
  <si>
    <t>Good source; wrong basis</t>
  </si>
  <si>
    <t>Tage VC — RE Tasks Active</t>
  </si>
  <si>
    <t>Work for RE sourcers + underwriting. Move done rows to RE Tasks Done.</t>
  </si>
  <si>
    <t>Open</t>
  </si>
  <si>
    <t>RT-001</t>
  </si>
  <si>
    <t>Comps + ARV + rehab budget (resi)</t>
  </si>
  <si>
    <t>RT-002</t>
  </si>
  <si>
    <t>Phase I ESA + rent roll / T-12 audit (CRE)</t>
  </si>
  <si>
    <t>Tage VC — RE Tasks Done (Log)</t>
  </si>
  <si>
    <t>Completed RE tasks. Paste from Active; set Date Completed.</t>
  </si>
  <si>
    <t>Done</t>
  </si>
  <si>
    <t>RT-000</t>
  </si>
  <si>
    <t>Submit LOI with cap-rate basis</t>
  </si>
  <si>
    <t>Accepted to PSA</t>
  </si>
  <si>
    <t>Tage VC — RE Process Library</t>
  </si>
  <si>
    <t>Copy tasks into RE Tasks Active. Route = Both, Residential, or Commercial.</t>
  </si>
  <si>
    <t>RE-01</t>
  </si>
  <si>
    <t>Both</t>
  </si>
  <si>
    <t>Log asset: address, route, type, source, ask</t>
  </si>
  <si>
    <t>RE Sourcer</t>
  </si>
  <si>
    <t>RE-### complete</t>
  </si>
  <si>
    <t>RE-02</t>
  </si>
  <si>
    <t>Thesis fit: market, size, hold thesis</t>
  </si>
  <si>
    <t>In/out of box stated</t>
  </si>
  <si>
    <t>RE-03</t>
  </si>
  <si>
    <t>Pull comps (sold/active); condition photos</t>
  </si>
  <si>
    <t>3+ comps within 0.5–1 mi</t>
  </si>
  <si>
    <t>RE-04</t>
  </si>
  <si>
    <t>Review OM/CIM: rent roll, T-12, occupancy</t>
  </si>
  <si>
    <t>NOI bridge started</t>
  </si>
  <si>
    <t>RE-05</t>
  </si>
  <si>
    <t>Title / tax / flood / zoning quick flags</t>
  </si>
  <si>
    <t>Red flags listed</t>
  </si>
  <si>
    <t>RE-06</t>
  </si>
  <si>
    <t>ARV, rehab budget, all-in basis, exit yield</t>
  </si>
  <si>
    <t>RE Underwrite Resi block filled</t>
  </si>
  <si>
    <t>RE-07</t>
  </si>
  <si>
    <t>NOI, cap rate, debt sketch, sensitivity</t>
  </si>
  <si>
    <t>RE Underwrite CRE block filled</t>
  </si>
  <si>
    <t>RE-08</t>
  </si>
  <si>
    <t>IC / partner go-no-go on offer price</t>
  </si>
  <si>
    <t>Authority to offer</t>
  </si>
  <si>
    <t>RE-09</t>
  </si>
  <si>
    <t>Submit offer / LOI; track response</t>
  </si>
  <si>
    <t>Offer $ on pipeline</t>
  </si>
  <si>
    <t>RE-10</t>
  </si>
  <si>
    <t>Negotiate PSA; earnest money; contingencies</t>
  </si>
  <si>
    <t>Counsel + Sourcer</t>
  </si>
  <si>
    <t>PSA fully executed</t>
  </si>
  <si>
    <t>RE-11</t>
  </si>
  <si>
    <t>Home inspection, pest, sewer/septic as needed</t>
  </si>
  <si>
    <t>Repair credit or walk</t>
  </si>
  <si>
    <t>RE-12</t>
  </si>
  <si>
    <t>Phase I ESA; PCA if needed; survey</t>
  </si>
  <si>
    <t>Environmental clear or escrow</t>
  </si>
  <si>
    <t>RE-13</t>
  </si>
  <si>
    <t>Lease abstract; estoppel plan; CAM audit</t>
  </si>
  <si>
    <t>Rollover risk mapped</t>
  </si>
  <si>
    <t>RE-14</t>
  </si>
  <si>
    <t>Appraisal / lender package if financed</t>
  </si>
  <si>
    <t>Ops / Sourcer</t>
  </si>
  <si>
    <t>Financing path firm</t>
  </si>
  <si>
    <t>RE-15</t>
  </si>
  <si>
    <t>Title commitment; closing statement; wire</t>
  </si>
  <si>
    <t>Funded; deed recorded</t>
  </si>
  <si>
    <t>RE-16</t>
  </si>
  <si>
    <t>Add to RE Portfolio; property manager kickoff</t>
  </si>
  <si>
    <t>RE Sourcer + PM</t>
  </si>
  <si>
    <t>KPIs live month 1</t>
  </si>
  <si>
    <t>RE-17</t>
  </si>
  <si>
    <t>Weekly pipeline scrub by Route + sourcer</t>
  </si>
  <si>
    <t>No stale &gt;14d without next action</t>
  </si>
  <si>
    <t>RE-18</t>
  </si>
  <si>
    <t>Broker/agent scorecard (close rate)</t>
  </si>
  <si>
    <t>Double down on channels that convert</t>
  </si>
  <si>
    <t>Tage VC — RE Underwrite</t>
  </si>
  <si>
    <t>Use the block that matches Route. Blue = inputs.</t>
  </si>
  <si>
    <t>RESIDENTIAL</t>
  </si>
  <si>
    <t>COMMERCIAL</t>
  </si>
  <si>
    <t>RE ID / Address</t>
  </si>
  <si>
    <t>RE-001 · 1842 Maple</t>
  </si>
  <si>
    <t>RE ID / Asset</t>
  </si>
  <si>
    <t>RE-002 · Carmel Flex</t>
  </si>
  <si>
    <t>Purchase (offer) $k</t>
  </si>
  <si>
    <t>Offer price $k</t>
  </si>
  <si>
    <t>Closing costs $k</t>
  </si>
  <si>
    <t>Closing + capex yr1 $k</t>
  </si>
  <si>
    <t>Rehab $k</t>
  </si>
  <si>
    <t>All-in $k</t>
  </si>
  <si>
    <t>All-in basis $k</t>
  </si>
  <si>
    <t>In-place NOI $k</t>
  </si>
  <si>
    <t>ARV $k</t>
  </si>
  <si>
    <t>Stabilized NOI $k</t>
  </si>
  <si>
    <t>Equity cushion vs ARV</t>
  </si>
  <si>
    <t>Going-in cap (on offer)</t>
  </si>
  <si>
    <t>Gross monthly rent $</t>
  </si>
  <si>
    <t>Stabilized cap (on all-in)</t>
  </si>
  <si>
    <t>Annual rent $k</t>
  </si>
  <si>
    <t>Occupancy</t>
  </si>
  <si>
    <t>OpEx ratio</t>
  </si>
  <si>
    <t>LTV</t>
  </si>
  <si>
    <t>NOI $k</t>
  </si>
  <si>
    <t>Debt $k</t>
  </si>
  <si>
    <t>Going-in yield on all-in</t>
  </si>
  <si>
    <t>Equity $k</t>
  </si>
  <si>
    <t>Hurdle yield</t>
  </si>
  <si>
    <t>Interest rate</t>
  </si>
  <si>
    <t>Resi filter</t>
  </si>
  <si>
    <t>Interest-only yr1 $k</t>
  </si>
  <si>
    <t>Cash flow after IO $k</t>
  </si>
  <si>
    <t>Cash-on-cash</t>
  </si>
  <si>
    <t>Hurdle going-in cap</t>
  </si>
  <si>
    <t>CRE filter</t>
  </si>
  <si>
    <t>Tage VC — RE Portfolio</t>
  </si>
  <si>
    <t>Post-close property book. PM/sourcer updates monthly. Blue = inputs.</t>
  </si>
  <si>
    <t>Resi</t>
  </si>
  <si>
    <t>CRE</t>
  </si>
  <si>
    <t>PFRE ID</t>
  </si>
  <si>
    <t>Basis $k</t>
  </si>
  <si>
    <t>Occ %</t>
  </si>
  <si>
    <t>Yield on basis</t>
  </si>
  <si>
    <t>PM / Owner</t>
  </si>
  <si>
    <t>Health</t>
  </si>
  <si>
    <t>Top Issue</t>
  </si>
  <si>
    <t>Last Update</t>
  </si>
  <si>
    <t>RE-100</t>
  </si>
  <si>
    <t>SFR</t>
  </si>
  <si>
    <t>None</t>
  </si>
  <si>
    <t>Tage VC — RE Notes</t>
  </si>
  <si>
    <t>Team split</t>
  </si>
  <si>
    <t>Business sourcers → Pipeline Active (VC) or M&amp;A Pipeline (buys). Never put real estate on those sheets.</t>
  </si>
  <si>
    <t>RE sourcers → RE Pipeline only. Tag Route = Residential or Commercial. Owner field = RE Sourcer — Resi or CRE.</t>
  </si>
  <si>
    <t>Why separate</t>
  </si>
  <si>
    <t>Different diligence (comps/ARV vs QoE/leases), different close docs (PSA vs SPA), different ops (PM vs COO of opco).</t>
  </si>
  <si>
    <t>Shared firm layer</t>
  </si>
  <si>
    <t>Command Center KPIs · Partner capital approval · Counsel/Ops on PSA wire · How We Run weekly scrub includes RE Mon triage.</t>
  </si>
  <si>
    <t>Stages</t>
  </si>
  <si>
    <t>Sourced → Screen → Underwriting → Offer → LOI/PSA → Diligence → Closing → Onboard (RE Portfolio)</t>
  </si>
  <si>
    <t>IDs: RE-### deals · RT-### tasks · PFRE-### owned assets.</t>
  </si>
  <si>
    <t>Resi vs CRE in library: filter RE Process Library column Route. Spawn Both + route-specific tasks.</t>
  </si>
  <si>
    <t>Tage VC — Core Subsidiary Structure | Official Standard</t>
  </si>
  <si>
    <t>Mandatory CORE for every subsidiary · FLEX = add-ons only · COO enforces · Visionary exceptions · Day-to-day: Subsidiary Operating System · §3 KPIs · §6 Health · §7 SS · §8 Handoff · §9 Governance</t>
  </si>
  <si>
    <t>CONTENTS</t>
  </si>
  <si>
    <t>§1 CORE vs FLEX · §2 P&amp;L · §3 KPIs · §4 Roll-up · §5 Rhythm · §6 Health · §7 Shared Services · §8 Handoff · §9 Governance · §10 FLEX modules · §11 Go-live</t>
  </si>
  <si>
    <t>Requirement</t>
  </si>
  <si>
    <t>One operating foundation so every sub is comparable, auditable, and roll-up ready for Portfolio + Firm.</t>
  </si>
  <si>
    <t>§1  TWO LAYERS</t>
  </si>
  <si>
    <t>Code</t>
  </si>
  <si>
    <t>Who controls changes</t>
  </si>
  <si>
    <t>Core Standardized</t>
  </si>
  <si>
    <t>CORE</t>
  </si>
  <si>
    <t>Required every reporting cycle for every Subsidiary</t>
  </si>
  <si>
    <t>Firm sets; Visionary approves any CORE reduction</t>
  </si>
  <si>
    <t>Industry-Specific</t>
  </si>
  <si>
    <t>FLEX</t>
  </si>
  <si>
    <t>Add-on KPIs/playbooks only; never remove CORE</t>
  </si>
  <si>
    <t>COO + Sub Lead; Entity Master.industry_module</t>
  </si>
  <si>
    <t>Non-compliance: missing CORE P&amp;L, CORE KPI, monthly pack, or Health for &gt;1 cycle without written exception → Health must be At Risk or Critical.</t>
  </si>
  <si>
    <t>Core KPIs</t>
  </si>
  <si>
    <t>Same keys + definitions</t>
  </si>
  <si>
    <t>See §3 kpi_key list</t>
  </si>
  <si>
    <t>§2  CORE P&amp;L (MONTHLY $k)</t>
  </si>
  <si>
    <t>Line</t>
  </si>
  <si>
    <t>Definition</t>
  </si>
  <si>
    <t>QBE map</t>
  </si>
  <si>
    <t>Portfolio roll-up</t>
  </si>
  <si>
    <t>Revenue</t>
  </si>
  <si>
    <t>Recognized revenue or ARR-run-rate locked in Handoff Pack</t>
  </si>
  <si>
    <t>4xxx</t>
  </si>
  <si>
    <t>SUM</t>
  </si>
  <si>
    <t>Finance + Sub Lead</t>
  </si>
  <si>
    <t>COGS</t>
  </si>
  <si>
    <t>Direct cost of delivering revenue only</t>
  </si>
  <si>
    <t>5xxx</t>
  </si>
  <si>
    <t>Gross Profit</t>
  </si>
  <si>
    <t>Revenue − COGS</t>
  </si>
  <si>
    <t>Calc</t>
  </si>
  <si>
    <t>Gross Margin %</t>
  </si>
  <si>
    <t>Gross Profit ÷ Revenue</t>
  </si>
  <si>
    <t>ΣGP ÷ ΣRevenue (not avg of %)</t>
  </si>
  <si>
    <t>OpEx</t>
  </si>
  <si>
    <t>All operating expense excluding COGS</t>
  </si>
  <si>
    <t>6xxx–7xxx</t>
  </si>
  <si>
    <t>Op. Income / EBITDA proxy</t>
  </si>
  <si>
    <t>Gross Profit − OpEx (add-backs only if Finance documents)</t>
  </si>
  <si>
    <t>Net Burn</t>
  </si>
  <si>
    <t>Net cash used by operations in month; 0 if cash generative</t>
  </si>
  <si>
    <t>Cash bridge</t>
  </si>
  <si>
    <t>Ending Cash</t>
  </si>
  <si>
    <t>Operating bank cash EOM (flag restricted separately)</t>
  </si>
  <si>
    <t>BS Cash</t>
  </si>
  <si>
    <t>Runway (mo)</t>
  </si>
  <si>
    <t>If Net Burn&gt;0 then Ending Cash÷Net Burn else n/a</t>
  </si>
  <si>
    <t>Report MIN among burning entities; list any &lt;12</t>
  </si>
  <si>
    <t>COO + Finance</t>
  </si>
  <si>
    <t>Close timing: Shared Services Finance completes books by business day 10; pack published BD10–12.</t>
  </si>
  <si>
    <t>COGS / Direct costs</t>
  </si>
  <si>
    <t>Costs directly tied to delivery of revenue</t>
  </si>
  <si>
    <t>5xxx COGS</t>
  </si>
  <si>
    <t>§3  CORE KPIs — DEFINITIONS &amp; PORTFOLIO ROLL-UP</t>
  </si>
  <si>
    <t>Authoritative list for every Subsidiary. Portal table: entity_month_kpi. Do not invent alternate names. FLEX KPIs: §3C only.</t>
  </si>
  <si>
    <t>KPI Name</t>
  </si>
  <si>
    <t>Calculation Method</t>
  </si>
  <si>
    <t>Reporting Frequency</t>
  </si>
  <si>
    <t>Roll-up Method to Portfolio</t>
  </si>
  <si>
    <t>Revenue / ARR</t>
  </si>
  <si>
    <t>Entity top-line for the reporting month, in $ thousands.</t>
  </si>
  <si>
    <t>Lock one method at Handoff; never switch without Finance+COO written approval. Method A: ARR = MRR × 12. Method B: recognized accounting revenue for the month ($k).</t>
  </si>
  <si>
    <t>Sub Lead + Finance</t>
  </si>
  <si>
    <t>Monthly (pack by BD12)</t>
  </si>
  <si>
    <t>SUM — Portfolio_Revenue = Σ entity Revenue/ARR (same period)</t>
  </si>
  <si>
    <t>MoM Growth %</t>
  </si>
  <si>
    <t>Percent change in the same top-line used for Revenue / ARR versus the prior month.</t>
  </si>
  <si>
    <t>Entity: (Rev_t − Rev_t−1) ÷ Rev_t−1. If Rev_t−1 = 0, leave blank (n/a). Do not substitute 0% or 100%.</t>
  </si>
  <si>
    <t>Monthly with pack</t>
  </si>
  <si>
    <t>WEIGHTED — Portfolio_MoM = (ΣRev_t − ΣRev_t−1) ÷ ΣRev_t−1 (never average entity %)</t>
  </si>
  <si>
    <t>Share of revenue remaining after direct delivery costs (COGS only), before operating expenses.</t>
  </si>
  <si>
    <t>Entity: (Revenue − COGS) ÷ Revenue. COGS = direct cost of delivery only (Core P&amp;L). Do not include G&amp;A in COGS.</t>
  </si>
  <si>
    <t>WEIGHTED — Portfolio_GM = ΣGrossProfit ÷ ΣRevenue (never average entity %)</t>
  </si>
  <si>
    <t>Net Burn $k</t>
  </si>
  <si>
    <t>Net operating cash consumed in the month (cash need), not accounting net loss.</t>
  </si>
  <si>
    <t>From the monthly cash bridge reconciling to bank movement. If ops are net cash-positive, report 0 (not negative burn).</t>
  </si>
  <si>
    <t>SUM — Portfolio_NetBurn = Σ entity Net Burn $k</t>
  </si>
  <si>
    <t>Ending Cash $k</t>
  </si>
  <si>
    <t>Unrestricted operating cash at month-end ($ thousands).</t>
  </si>
  <si>
    <t>Sum of operating bank balances on the last calendar day of the month. Restricted cash in pack notes only — excluded here.</t>
  </si>
  <si>
    <t>SUM — Portfolio_Cash = Σ entity Ending Cash $k</t>
  </si>
  <si>
    <t>Runway months</t>
  </si>
  <si>
    <t>How many months cash lasts if Net Burn continues at the current rate.</t>
  </si>
  <si>
    <t>IF Net_Burn &gt; 0 THEN Ending_Cash ÷ Net_Burn ELSE n/a. When numeric, round to 1 decimal.</t>
  </si>
  <si>
    <t>MIN / FLAG — Min numeric runway where burn&gt;0; FLAG each entity with runway &lt; 12 (never average)</t>
  </si>
  <si>
    <t>Forced operating status of the subsidiary for portfolio oversight.</t>
  </si>
  <si>
    <t>Exactly one of: On Track | Watch | At Risk | Critical. Set by COO using Health Matrix §6. Free text is invalid.</t>
  </si>
  <si>
    <t>Monthly; ad hoc ≤48h if Critical</t>
  </si>
  <si>
    <t>COUNT — Count entities in each Health status (feeds Command Center)</t>
  </si>
  <si>
    <t>Top Risk</t>
  </si>
  <si>
    <t>The single most important risk facing the subsidiary right now.</t>
  </si>
  <si>
    <t>One sentence + named owner. Required when Health ≠ On Track. Optional when On Track.</t>
  </si>
  <si>
    <t>LIST — List Top Risk for entities with Health = At Risk or Critical</t>
  </si>
  <si>
    <t>Customer concentration %</t>
  </si>
  <si>
    <t>Revenue dependence on the largest customer/client.</t>
  </si>
  <si>
    <t>Largest_customer_revenue ÷ Total_revenue for the period. Also disclose top-5 % in pack notes.</t>
  </si>
  <si>
    <t>FLAG — Flag each entity with single-customer concentration &gt; 25% (never average %)</t>
  </si>
  <si>
    <t>Headcount FTE</t>
  </si>
  <si>
    <t>Employed workforce size at period end.</t>
  </si>
  <si>
    <t>Full-time equivalents on the last calendar day of the month. Contractors in pack notes only — not in FTE.</t>
  </si>
  <si>
    <t>HR + Sub Lead</t>
  </si>
  <si>
    <t>SUM — Portfolio_FTE = Σ entity FTE</t>
  </si>
  <si>
    <t>Pipeline coverage (GTM only)</t>
  </si>
  <si>
    <t>Whether commercial pipeline supports next-quarter revenue plan. Required for GTM businesses; otherwise n/a.</t>
  </si>
  <si>
    <t>Weighted_pipeline_$ ÷ Next_quarter_revenue_target. Document weighting rules in the pack.</t>
  </si>
  <si>
    <t>Monthly with pack (if GTM)</t>
  </si>
  <si>
    <t>FLAG — Flag each GTM entity with coverage &lt; 1.0x (never average ratios)</t>
  </si>
  <si>
    <t>§3A  ROLL-UP METHOD RULES (IMPLEMENT EXACTLY)</t>
  </si>
  <si>
    <t>Method</t>
  </si>
  <si>
    <t>Use when</t>
  </si>
  <si>
    <t>Portfolio formula (precise)</t>
  </si>
  <si>
    <t>Why not a simple average</t>
  </si>
  <si>
    <t>Forbidden</t>
  </si>
  <si>
    <t>Dollar amounts and headcount (Revenue, COGS, OpEx, Burn, Cash, FTE)</t>
  </si>
  <si>
    <t>Portfolio_X = X_sub1 + X_sub2 + … + X_subN (same period)</t>
  </si>
  <si>
    <t>N/A — totaling is correct</t>
  </si>
  <si>
    <t>Mixing $ with % in one sum</t>
  </si>
  <si>
    <t>WEIGHTED</t>
  </si>
  <si>
    <t>Percentages that scale with revenue (Gross Margin %, MoM Growth %)</t>
  </si>
  <si>
    <t>Rebuild % from portfolio sums. GM: ΣGP/ΣRev. MoM: (ΣRev_t − ΣRev_t−1)/ΣRev_t−1.</t>
  </si>
  <si>
    <t>Example: Sub A $10k @ 10% GM and Sub B $1,000k @ 50% GM. Simple avg GM = 30%. True portfolio GM ≈ 49.5%. Simple average misstates the business.</t>
  </si>
  <si>
    <t>AVERAGE(entity_GM%) or AVERAGE(entity_MoM%)</t>
  </si>
  <si>
    <t>MIN / FLAG</t>
  </si>
  <si>
    <t>Risk metrics: Runway; thresholds for concentration and pipeline coverage</t>
  </si>
  <si>
    <t>Runway: Min_Runway = MIN({runway_i | burn_i &gt; 0}). Also emit FLAG list where runway_i &lt; 12. Concentration: FLAG each entity where conc_i &gt; 0.25. Coverage: FLAG each GTM entity where coverage_i &lt; 1.0.</t>
  </si>
  <si>
    <t>A sub at 4 months runway next to one at 24 months averages to 14 — that hides distress.</t>
  </si>
  <si>
    <t>AVERAGE(runway) or AVERAGE(concentration%)</t>
  </si>
  <si>
    <t>COUNT</t>
  </si>
  <si>
    <t>Health status (categorical enum)</t>
  </si>
  <si>
    <t>For each status S in {On Track, Watch, At Risk, Critical}: Count = number of subsidiaries with Health = S</t>
  </si>
  <si>
    <t>Health is a category, not a numeric score</t>
  </si>
  <si>
    <t>Map statuses to 1–4 and average</t>
  </si>
  <si>
    <t>LIST</t>
  </si>
  <si>
    <t>Text fields (Top Risk)</t>
  </si>
  <si>
    <t>Return a filtered list of {entity, top_risk, owner} for Health in {At Risk, Critical}</t>
  </si>
  <si>
    <t>Text cannot be averaged</t>
  </si>
  <si>
    <t>Concatenate all risks into one cell</t>
  </si>
  <si>
    <t>§3B  RUNWAY &amp; CONCENTRATION — STEP BY STEP</t>
  </si>
  <si>
    <t>Entity calculation</t>
  </si>
  <si>
    <t>Portfolio outputs (both required)</t>
  </si>
  <si>
    <t>Excel (Portfolio Roll-up) / portal job</t>
  </si>
  <si>
    <t>Runway</t>
  </si>
  <si>
    <t>If Net_Burn ≤ 0 → store n/a (exclude from MIN). Else Cash ÷ Burn.</t>
  </si>
  <si>
    <t>(1) Min_Runway among burning entities. (2) Breach_List = entities with numeric runway &lt; 12.</t>
  </si>
  <si>
    <t>Entity formulas return n/a or number. Portfolio MIN ignores text n/a (COUNT/MIN pattern). FLAG row marks breaches.</t>
  </si>
  <si>
    <t>Concentration</t>
  </si>
  <si>
    <t>Largest customer $ ÷ total revenue $.</t>
  </si>
  <si>
    <t>No portfolio-wide average %. Output Breach_List = entities with conc &gt; 25%.</t>
  </si>
  <si>
    <t>Not on P&amp;L grid; pack field + risk job returns flags + entity_ids.</t>
  </si>
  <si>
    <t>Link to Health</t>
  </si>
  <si>
    <t>Entity triggers in §6 may reference these metrics</t>
  </si>
  <si>
    <t>System may suggest Health; COO remains owner of Health enum</t>
  </si>
  <si>
    <t>Do not auto-overwrite Health without COO action</t>
  </si>
  <si>
    <t>§3C  CORE vs FLEX — DIFFERENT TREATMENT</t>
  </si>
  <si>
    <t>Type</t>
  </si>
  <si>
    <t>What</t>
  </si>
  <si>
    <t>Required every month?</t>
  </si>
  <si>
    <t>Storage</t>
  </si>
  <si>
    <t>Portfolio Total (money / firm roll-up)?</t>
  </si>
  <si>
    <t>KPI Name rows in §3 table above</t>
  </si>
  <si>
    <t>Yes — every Subsidiary</t>
  </si>
  <si>
    <t>entity_month_kpi + Portfolio Active fields</t>
  </si>
  <si>
    <t>Yes — apply Roll-up Method column exactly</t>
  </si>
  <si>
    <t>Industry-only metrics (e.g. Recruit 619: placements, fill_time_days, gp_per_desk; SaaS: NRR, CAC, LTV)</t>
  </si>
  <si>
    <t>Only if industry_module requires them</t>
  </si>
  <si>
    <t>entity_month_kpi_flex or subsidiary playbook</t>
  </si>
  <si>
    <t>No — never SUM or WEIGHTED into Portfolio Revenue, Burn, or Cash. Entity-detail UI only.</t>
  </si>
  <si>
    <t>Adding a FLEX KPI</t>
  </si>
  <si>
    <t>Define it with the same six columns as §3 in the playbook; set Entity Master.industry_module</t>
  </si>
  <si>
    <t>Optional</t>
  </si>
  <si>
    <t>Playbook + flex table</t>
  </si>
  <si>
    <t>Excluded from portfolio_month_rollup money fields</t>
  </si>
  <si>
    <t>Changing a CORE KPI</t>
  </si>
  <si>
    <t>Visionary written exception required</t>
  </si>
  <si>
    <t>N/A</t>
  </si>
  <si>
    <t>Change log</t>
  </si>
  <si>
    <t>Missing CORE &gt;1 cycle without exception → Health ≤ At Risk</t>
  </si>
  <si>
    <t>§3D  PORTAL IMPLEMENTATION CHECKLIST</t>
  </si>
  <si>
    <t>1. entity_month_kpi columns: entity_id, period, kpi_key, value_num, value_text, method ∈ {SUM, WEIGHTED, MIN_FLAG, COUNT, LIST}.</t>
  </si>
  <si>
    <t>2. Monthly job order: load entity_month_pnl → SUM money lines → compute WEIGHTED % from those sums → run MIN/FLAG for runway &amp; concentration → COUNT Health from portfolio_companies.health.</t>
  </si>
  <si>
    <t>3. Portfolio Active = ops UI (includes Health/Top Risk). Portfolio Roll-up = numeric proof. Same period CORE values must match.</t>
  </si>
  <si>
    <t>4. Reject any helper that averages entity margins, growth rates, runways, or concentration percentages.</t>
  </si>
  <si>
    <t>5. Worked Excel formulas live on Portfolio Roll-up. This §3 is the rules authority.</t>
  </si>
  <si>
    <t>§6  HEALTH MATRIX (CORE — AUTHORITATIVE)</t>
  </si>
  <si>
    <t>Forced enum on Portfolio Active. COO sets. Worst matching row wins. Not optional guidelines.</t>
  </si>
  <si>
    <t>Hard triggers (any one)</t>
  </si>
  <si>
    <t>Required actions</t>
  </si>
  <si>
    <t>Notify by</t>
  </si>
  <si>
    <t>Audience</t>
  </si>
  <si>
    <t>On plan; no material open risk</t>
  </si>
  <si>
    <t>Rev &amp; burn within ±15% of plan; runway ≥12 or n/a; no open compliance failure</t>
  </si>
  <si>
    <t>File monthly pack; continue weekly review; Top Risk optional</t>
  </si>
  <si>
    <t>With pack</t>
  </si>
  <si>
    <t>Early warning; manageable</t>
  </si>
  <si>
    <t>1-month plan miss &gt;15%; OR runway 9–&lt;12; OR concentration ≥20% rising; OR key hire slip &gt;30 days</t>
  </si>
  <si>
    <t>Top Risk required; mitigation owner + due date; track weekly</t>
  </si>
  <si>
    <t>COO + Partner</t>
  </si>
  <si>
    <t>Material risk; recovery mandatory</t>
  </si>
  <si>
    <t>2 months plan miss; OR runway 6–&lt;9; OR single customer &gt;30% with churn risk; OR no pack 2 cycles</t>
  </si>
  <si>
    <t>Written recovery plan in 10 bd; biweekly COO check; milestones until Watch+</t>
  </si>
  <si>
    <t>Within 48 hours</t>
  </si>
  <si>
    <t>Partner + COO; Visionary informed</t>
  </si>
  <si>
    <t>Existential or control failure</t>
  </si>
  <si>
    <t>Runway &lt;6; OR fraud/control failure; OR regulatory breach; OR CEO exit without interim plan</t>
  </si>
  <si>
    <t>War room 48h; options paper; daily stand-up until contained</t>
  </si>
  <si>
    <t>Same day</t>
  </si>
  <si>
    <t>Visionary + Partner + COO</t>
  </si>
  <si>
    <t>Health may improve only one step per month unless COO files written evidence (e.g. capital closed, material contract signed).</t>
  </si>
  <si>
    <t>Escalation: L1 Sub Lead → L2 COO (owns Health on Portfolio Active) → L3 Partner (At Risk, or Watch &gt;60 days) → L4 Visionary (Critical, capital, CORE exception).</t>
  </si>
  <si>
    <t>§7  SHARED SERVICES REQUIREMENTS (CORE)</t>
  </si>
  <si>
    <t>Every Subsidiary must use Tage Shared Services. No shadow GL. No side counsel on material contracts. Cadences: Shared Services Operating Model.</t>
  </si>
  <si>
    <t>Service</t>
  </si>
  <si>
    <t>Subsidiary MUST</t>
  </si>
  <si>
    <t>Shared Services MUST</t>
  </si>
  <si>
    <t>SLA</t>
  </si>
  <si>
    <t>If SLA breached</t>
  </si>
  <si>
    <t>Source docs by close calendar; approve bills in system; review pack by BD12; no second books</t>
  </si>
  <si>
    <t>Close books; bank recs; publish pack; maintain QBE entity</t>
  </si>
  <si>
    <t>Close BD10; pack BD10–12</t>
  </si>
  <si>
    <t>Miss BD12 → COO same day; 2nd miss → Health ≤ At Risk + Visionary informed</t>
  </si>
  <si>
    <t>Ticket with deadline before any material signature</t>
  </si>
  <si>
    <t>Draft/negotiate; risk flag</t>
  </si>
  <si>
    <t>5 bd std; 48h P0</t>
  </si>
  <si>
    <t>Missed P0 → Counsel → Partner same day</t>
  </si>
  <si>
    <t>Role brief before search; no off-process offers</t>
  </si>
  <si>
    <t>Recruiting support; compliant packets</t>
  </si>
  <si>
    <t>Offer pack within 5 bd of decision</t>
  </si>
  <si>
    <t>Process bypass → HR Lead → COO</t>
  </si>
  <si>
    <t>IT</t>
  </si>
  <si>
    <t>Report incidents same day; no shadow admin</t>
  </si>
  <si>
    <t>Access, security, tools; offboarding with HR</t>
  </si>
  <si>
    <t>P1 in 4h; access in 2 bd</t>
  </si>
  <si>
    <t>Incident → COO immediately; breach → Visionary</t>
  </si>
  <si>
    <t>Marketing</t>
  </si>
  <si>
    <t>Approved brand only (e.g. Recruit 619); ticket/brief for work</t>
  </si>
  <si>
    <t>Brand, site, campaigns per firm stack</t>
  </si>
  <si>
    <t>Per quarterly plan</t>
  </si>
  <si>
    <t>Marketing Lead → COO</t>
  </si>
  <si>
    <t>Priority order for all tickets: P0 firm/reg/closing → P1 live deal CP → P2 subsidiary ops → P3 projects.</t>
  </si>
  <si>
    <t>§8  HANDOFF / ONBOARDING (CORE — DAY 0–30)</t>
  </si>
  <si>
    <t>Starts at wire/close. Incomplete handoff blocks Health = On Track. Owners own exit criteria, not just activity.</t>
  </si>
  <si>
    <t>#</t>
  </si>
  <si>
    <t>Timing</t>
  </si>
  <si>
    <t>RACI</t>
  </si>
  <si>
    <t>Exit criteria (done when)</t>
  </si>
  <si>
    <t>System updated</t>
  </si>
  <si>
    <t>Issue entity identity</t>
  </si>
  <si>
    <t>At wire (same day)</t>
  </si>
  <si>
    <t>R: Associate · A: Partner</t>
  </si>
  <si>
    <t>entity_id, canonical_name, legal_name, industry_module, parent_id on file</t>
  </si>
  <si>
    <t>Open books in QBE</t>
  </si>
  <si>
    <t>Day 0–3</t>
  </si>
  <si>
    <t>R: Finance · A: Finance Lead</t>
  </si>
  <si>
    <t>QBE company/class live; bank feed on; CORE P&amp;L accounts exist</t>
  </si>
  <si>
    <t>QBE</t>
  </si>
  <si>
    <t>Create document library</t>
  </si>
  <si>
    <t>R: Counsel/Ops · A: Counsel</t>
  </si>
  <si>
    <t>Folders 01–07 exist per Document Management standard</t>
  </si>
  <si>
    <t>Doc store</t>
  </si>
  <si>
    <t>Complete Handoff Pack</t>
  </si>
  <si>
    <t>Wire → Day 7</t>
  </si>
  <si>
    <t>R: Partner + COO · A: Partner</t>
  </si>
  <si>
    <t>Thesis, 90-day plan, baseline CORE KPIs, and revenue method (ARR vs recognized) locked in writing</t>
  </si>
  <si>
    <t>Create Portfolio Active row</t>
  </si>
  <si>
    <t>Day 0–7</t>
  </si>
  <si>
    <t>R: Associate · A: COO</t>
  </si>
  <si>
    <t>All CORE KPI fields present; initial Health set (default Watch until first full pack)</t>
  </si>
  <si>
    <t>Stand up weekly rhythm</t>
  </si>
  <si>
    <t>By Day 14</t>
  </si>
  <si>
    <t>R: Sub Lead · A: COO</t>
  </si>
  <si>
    <t>First Operating Review held; action log has ≥1 dated item</t>
  </si>
  <si>
    <t>Calendar + action log</t>
  </si>
  <si>
    <t>Enable Shared Services access</t>
  </si>
  <si>
    <t>By Day 30</t>
  </si>
  <si>
    <t>R: COO · C: Service Leads</t>
  </si>
  <si>
    <t>Ticket access live; close calendar received; SS briefing completed</t>
  </si>
  <si>
    <t>Tickets / SS Model</t>
  </si>
  <si>
    <t>First full monthly pack + roll-up</t>
  </si>
  <si>
    <t>First BD12 after wire</t>
  </si>
  <si>
    <t>R: Finance + Sub Lead · A: COO</t>
  </si>
  <si>
    <t>CORE P&amp;L + CORE KPIs published; Portfolio Roll-up column filled for entity</t>
  </si>
  <si>
    <t>Pack + Portfolio Roll-up</t>
  </si>
  <si>
    <t>Gates: (A) Steps 1–5 complete before Health may be On Track. (B) Any of steps 6–8 late → Health ≤ Watch until cured. (C) Partner confirms Handoff Pack before step 5 is marked done.</t>
  </si>
  <si>
    <t>§9  GOVERNANCE &amp; REPORTING (CORE)</t>
  </si>
  <si>
    <t>Who decides what, how often, and what artifact must exist. Missed cadence without COO waiver is a control failure.</t>
  </si>
  <si>
    <t>9A · Decision rights</t>
  </si>
  <si>
    <t>Decision</t>
  </si>
  <si>
    <t>Decides (A)</t>
  </si>
  <si>
    <t>Must consult</t>
  </si>
  <si>
    <t>Must inform</t>
  </si>
  <si>
    <t>Required artifact</t>
  </si>
  <si>
    <t>Set / change Health</t>
  </si>
  <si>
    <t>Sub Lead (facts); Partner if At Risk+</t>
  </si>
  <si>
    <t>Partner always on At Risk/Critical</t>
  </si>
  <si>
    <t>Portfolio Active Health + Top Risk</t>
  </si>
  <si>
    <t>Approve recovery plan (At Risk)</t>
  </si>
  <si>
    <t>Thesis Partner</t>
  </si>
  <si>
    <t>COO + Sub Lead</t>
  </si>
  <si>
    <t>Visionary (summary)</t>
  </si>
  <si>
    <t>Written recovery plan ≤10 bd</t>
  </si>
  <si>
    <t>Critical war room / options</t>
  </si>
  <si>
    <t>Firm leadership as needed</t>
  </si>
  <si>
    <t>Options paper within 48h</t>
  </si>
  <si>
    <t>Parent capital to a sub</t>
  </si>
  <si>
    <t>COO (runway math); Finance</t>
  </si>
  <si>
    <t>Capital memo + runway bridge</t>
  </si>
  <si>
    <t>Change CORE standard</t>
  </si>
  <si>
    <t>COO proposes; Finance if KPI/P&amp;L</t>
  </si>
  <si>
    <t>Written exception / change log</t>
  </si>
  <si>
    <t>FLEX KPI add for a module</t>
  </si>
  <si>
    <t>Sub Lead; Service Lead if data source</t>
  </si>
  <si>
    <t>Playbook 6-column KPI definition</t>
  </si>
  <si>
    <t>Recruiting (e.g. Recruit 619)</t>
  </si>
  <si>
    <t>placements, fill_time_days, gp_per_desk</t>
  </si>
  <si>
    <t>YES — full CORE</t>
  </si>
  <si>
    <t>Recruit 619 Alignment + playbook</t>
  </si>
  <si>
    <t>9B · Standing reports (cadence)</t>
  </si>
  <si>
    <t>utilization, backlog, job margin</t>
  </si>
  <si>
    <t>Sub pack / playbook</t>
  </si>
  <si>
    <t>Report</t>
  </si>
  <si>
    <t>Producer (R)</t>
  </si>
  <si>
    <t>Accountable (A)</t>
  </si>
  <si>
    <t>Cadence / deadline</t>
  </si>
  <si>
    <t>Artifact / system</t>
  </si>
  <si>
    <t>Weekly ops actions</t>
  </si>
  <si>
    <t>COO (as needed)</t>
  </si>
  <si>
    <t>Weekly Operating Review</t>
  </si>
  <si>
    <t>Action log</t>
  </si>
  <si>
    <t>Monthly entity pack (CORE P&amp;L + CORE KPIs)</t>
  </si>
  <si>
    <t>COO; Partner on request</t>
  </si>
  <si>
    <t>Pack available BD10–12</t>
  </si>
  <si>
    <t>Pack file + QBE</t>
  </si>
  <si>
    <t>Portfolio Active update (Health, Top Risk, CORE fields)</t>
  </si>
  <si>
    <t>Partners (read); Visionary (CC)</t>
  </si>
  <si>
    <t>By BD15 each month</t>
  </si>
  <si>
    <t>Portfolio Roll-up / firm snapshot</t>
  </si>
  <si>
    <t>Finance Lead</t>
  </si>
  <si>
    <t>COO, Visionary</t>
  </si>
  <si>
    <t>Partner / Associate (funnel); COO (portfolio counts)</t>
  </si>
  <si>
    <t>Partner (firm view)</t>
  </si>
  <si>
    <t>Partners, Visionary</t>
  </si>
  <si>
    <t>Weekly firm rhythm + monthly refresh</t>
  </si>
  <si>
    <t>At Risk / Critical list</t>
  </si>
  <si>
    <t>Partner; Visionary if Critical</t>
  </si>
  <si>
    <t>With monthly pack; ad hoc ≤48h on trigger</t>
  </si>
  <si>
    <t>List + recovery plan</t>
  </si>
  <si>
    <t>Quarterly 90-day plan</t>
  </si>
  <si>
    <t>Partner, COO</t>
  </si>
  <si>
    <t>Each quarter</t>
  </si>
  <si>
    <t>Written 90-day plan</t>
  </si>
  <si>
    <t>Annual audit package</t>
  </si>
  <si>
    <t>COO + Finance + Counsel</t>
  </si>
  <si>
    <t>Partner; Visionary summary</t>
  </si>
  <si>
    <t>Annual per entity anniversary / firm calendar</t>
  </si>
  <si>
    <t>SA library + Annual Audit Master</t>
  </si>
  <si>
    <t>SS ticket access + close calendar</t>
  </si>
  <si>
    <t>9C · Escalation for reporting failures</t>
  </si>
  <si>
    <t>Failure</t>
  </si>
  <si>
    <t>First response</t>
  </si>
  <si>
    <t>If repeats</t>
  </si>
  <si>
    <t>Pack missing after BD12</t>
  </si>
  <si>
    <t>Finance Lead notifies COO same day</t>
  </si>
  <si>
    <t>2nd consecutive miss → Health ≤ At Risk; Visionary informed</t>
  </si>
  <si>
    <t>Portfolio Active not updated by BD15</t>
  </si>
  <si>
    <t>COO personal ownership; Partner notified</t>
  </si>
  <si>
    <t>Treat as control miss on monthly firm review</t>
  </si>
  <si>
    <t>Health At Risk without recovery plan by day 10</t>
  </si>
  <si>
    <t>Escalate to Partner immediately</t>
  </si>
  <si>
    <t>Visionary informed; may force Critical</t>
  </si>
  <si>
    <t>Critical without war room in 48h</t>
  </si>
  <si>
    <t>Any Partner may convene; default Visionary chair</t>
  </si>
  <si>
    <t>Firm-level incident</t>
  </si>
  <si>
    <t>§10  FLEX MODULES (NOT A SUBSTITUTE FOR CORE)</t>
  </si>
  <si>
    <t>Example FLEX KPIs only</t>
  </si>
  <si>
    <t>CORE still required?</t>
  </si>
  <si>
    <t>Where FLEX lives</t>
  </si>
  <si>
    <t>NRR, logo churn, CAC, LTV</t>
  </si>
  <si>
    <t>Services</t>
  </si>
  <si>
    <t>FLEX KPIs never SUM into Portfolio Total revenue, burn, or cash on Portfolio Roll-up.</t>
  </si>
  <si>
    <t>§11  GO-LIVE CHECKLIST (NEW SUBSIDIARY)</t>
  </si>
  <si>
    <t>Item</t>
  </si>
  <si>
    <t>Entity Master + industry_module</t>
  </si>
  <si>
    <t>QBE live with CORE P&amp;L accounts</t>
  </si>
  <si>
    <t>Portfolio Active has all CORE KPI fields</t>
  </si>
  <si>
    <t>Weekly Operating Review on calendar</t>
  </si>
  <si>
    <t>Risk register (≥3 items)</t>
  </si>
  <si>
    <t>Doc library 01–07</t>
  </si>
  <si>
    <t>Counsel/Ops</t>
  </si>
  <si>
    <t>Handoff Pack complete (revenue method locked)</t>
  </si>
  <si>
    <t>§3 KPIs · Portfolio Roll-up · Subsidiary Operating System · Shared Services Operating Model · Entity Master · Portfolio Active · Portfolio Handoff · Firm Operations · How We Run · Recruit 619 Alignment</t>
  </si>
  <si>
    <t>Tage VC — Subsidiary Operating System | Day-to-Day Guide</t>
  </si>
  <si>
    <t>For COO &amp; Sub Leads · Rules: Core Structure · Numbers: Portfolio Active + Roll-up · Pulse: Command Center · SS: Shared Services Operating Model</t>
  </si>
  <si>
    <t>DATA FRESHNESS</t>
  </si>
  <si>
    <t>Pack BD10–12 · Portfolio Active + Health by BD15 · same period as Portfolio Roll-up B13 · Active $ must match Roll-up entity column · Command Center is read-only formulas.</t>
  </si>
  <si>
    <t>Complete</t>
  </si>
  <si>
    <t>0 · HOW TO USE</t>
  </si>
  <si>
    <t>Use this tab for</t>
  </si>
  <si>
    <t>Go elsewhere for</t>
  </si>
  <si>
    <t>Weekly agenda, pack prep, risk habits, SS tickets</t>
  </si>
  <si>
    <t>KPI definitions → Core Structure §3</t>
  </si>
  <si>
    <t>Cadence, Health, multi-co pulse, escalations</t>
  </si>
  <si>
    <t>Deal flow / IC → pipelines</t>
  </si>
  <si>
    <t>Finance (SS)</t>
  </si>
  <si>
    <t>Close calendar + pack SLA with Sub Lead</t>
  </si>
  <si>
    <t>Health (COO only)</t>
  </si>
  <si>
    <t>1 · ROLES</t>
  </si>
  <si>
    <t>Hard deadline</t>
  </si>
  <si>
    <t>Escalates to</t>
  </si>
  <si>
    <t>Weekly ops, action log, Top Risk draft, pack narrative</t>
  </si>
  <si>
    <t>Action log every week; pack inputs by BD8</t>
  </si>
  <si>
    <t>Health, Portfolio Active, recovery plans, SS priority</t>
  </si>
  <si>
    <t>Portfolio Active by BD15</t>
  </si>
  <si>
    <t>Partner / Visionary (Core §6–§9)</t>
  </si>
  <si>
    <t>Close, recs, pack publish, Roll-up column</t>
  </si>
  <si>
    <t>Pack BD10–12</t>
  </si>
  <si>
    <t>COO same day if SLA miss</t>
  </si>
  <si>
    <t>Recovery approval, quarterly strategy</t>
  </si>
  <si>
    <t>At Risk plan by day 10</t>
  </si>
  <si>
    <t>Visionary if Critical/capital</t>
  </si>
  <si>
    <t>2 · WEEKLY OPERATING REVIEW (REAL-WORLD)</t>
  </si>
  <si>
    <t>Cadence: weekly, 30–45 min. Owner: Sub Lead. COO joins if Health ≠ On Track, or at least biweekly for Watch. Required artifact: action log (owner + due date).</t>
  </si>
  <si>
    <t>Block</t>
  </si>
  <si>
    <t>Min</t>
  </si>
  <si>
    <t>Example prompt / what good looks like</t>
  </si>
  <si>
    <t>Required output</t>
  </si>
  <si>
    <t>CORE KPI flash</t>
  </si>
  <si>
    <t>Example: “ARR $480k (+8% MoM), burn $30k, cash $540k, runway 18. Red? None. Watch: concentration 22%.”</t>
  </si>
  <si>
    <t>Name any red metric</t>
  </si>
  <si>
    <t>Customers / pipeline or delivery</t>
  </si>
  <si>
    <t>SaaS: top 5 pipeline + stuck stage. Recruit 619: placements this week + fill-time slips. Services: backlog vs capacity.</t>
  </si>
  <si>
    <t>One weekly priority</t>
  </si>
  <si>
    <t>People &amp; capacity</t>
  </si>
  <si>
    <t>Example: “AE role open 34 days → raise to SS HR. No attrition.”</t>
  </si>
  <si>
    <t>Hire/SS ask or none</t>
  </si>
  <si>
    <t>Risks &amp; Health triggers</t>
  </si>
  <si>
    <t>Check Core §6: plan miss, runway bands, concentration, pack miss. Example Top Risk: “Enterprise cycle slip — Owner: CRO — due Fri.”</t>
  </si>
  <si>
    <t>Top Risk draft if not On Track</t>
  </si>
  <si>
    <t>Shared Services blockers</t>
  </si>
  <si>
    <t>Example: “Legal ticket #442 MSA — SLA day 4 of 5. Escalate tomorrow if no mark-up.”</t>
  </si>
  <si>
    <t>Escalate or close ticket</t>
  </si>
  <si>
    <t>Decisions &amp; actions</t>
  </si>
  <si>
    <t>Close prior actions or re-date once. New actions only with owner+date.</t>
  </si>
  <si>
    <t>Updated action log</t>
  </si>
  <si>
    <t>Hygiene rules: (1) No log = meeting didn’t happen. (2) At Risk/Critical → COO attends or gets same-day notes. (3) Do not debate CORE definitions in this meeting — escalate definition issues to COO offline.</t>
  </si>
  <si>
    <t>3 · MONTHLY PACK PROCESS (END-TO-END)</t>
  </si>
  <si>
    <t>Day</t>
  </si>
  <si>
    <t>Activity</t>
  </si>
  <si>
    <t>Example / checklist</t>
  </si>
  <si>
    <t>System</t>
  </si>
  <si>
    <t>BD1–8</t>
  </si>
  <si>
    <t>Sub Lead pack inputs</t>
  </si>
  <si>
    <t>Checklist: bank access ok? payroll changes listed? revenue method unchanged? top customer % calculated? open SS tickets listed?</t>
  </si>
  <si>
    <t>Pack folder</t>
  </si>
  <si>
    <t>BD1–10</t>
  </si>
  <si>
    <t>Finance close + bank recs</t>
  </si>
  <si>
    <t>Example fail: missing credit card feed → flag Sub Lead day 3, not day 10.</t>
  </si>
  <si>
    <t>BD10–12</t>
  </si>
  <si>
    <t>Publish CORE pack + fill Roll-up column</t>
  </si>
  <si>
    <t>Pack must include CORE P&amp;L lines + CORE KPIs (Core §3). FLEX (e.g. placements) in appendix only.</t>
  </si>
  <si>
    <t>BD12–15</t>
  </si>
  <si>
    <t>Health + Top Risk + Active $ fields</t>
  </si>
  <si>
    <t>Compare pack to plan ±15%. Apply Core §6. Example: 2nd month miss → At Risk even if team “feels fine.”</t>
  </si>
  <si>
    <t>BD15</t>
  </si>
  <si>
    <t>Performance Review meeting</t>
  </si>
  <si>
    <t>COO hosts</t>
  </si>
  <si>
    <t>Agenda: pack vs plan · Health · Top Risk · SS asks · recovery if needed. 45–60 min.</t>
  </si>
  <si>
    <t>Firm pulse visible</t>
  </si>
  <si>
    <t>COO / Partner read</t>
  </si>
  <si>
    <t>Command Center Portfolio Health Pulse + financials refresh via formulas</t>
  </si>
  <si>
    <t>SLA miss: Pack not available BD12 → Finance notifies COO same day. 2nd consecutive miss → Health ≤ At Risk (Core §9C).</t>
  </si>
  <si>
    <t>4 · RISK &amp; HEALTH MANAGEMENT (EXAMPLES)</t>
  </si>
  <si>
    <t>Authority: Core §6 Health matrix. Below = how it shows up in real life.</t>
  </si>
  <si>
    <t>Situation (example)</t>
  </si>
  <si>
    <t>Likely Health</t>
  </si>
  <si>
    <t>Sub Lead does now</t>
  </si>
  <si>
    <t>COO does now</t>
  </si>
  <si>
    <t>ARR +6% vs plan, runway 16, top customer 18%</t>
  </si>
  <si>
    <t>Normal weekly; Top Risk optional</t>
  </si>
  <si>
    <t>Confirm pack; no special cadence</t>
  </si>
  <si>
    <t>Missed plan month 1 by 18%; runway 11</t>
  </si>
  <si>
    <t>Top Risk + mitigation owner+date this week</t>
  </si>
  <si>
    <t>Attend next weekly; Partner informed</t>
  </si>
  <si>
    <t>Missed plan 2 months; top client 32% with churn signal</t>
  </si>
  <si>
    <t>Draft recovery milestones in 5 bd</t>
  </si>
  <si>
    <t>Plan approved ≤10 bd; biweekly checks; Partner engaged</t>
  </si>
  <si>
    <t>Runway 5 months; or payroll dual-control broken</t>
  </si>
  <si>
    <t>Notify COO same day; pause non-essential spend if directed</t>
  </si>
  <si>
    <t>War room ≤48h; Visionary; options paper</t>
  </si>
  <si>
    <t>Pack missed two months running</t>
  </si>
  <si>
    <t>At Risk (control)</t>
  </si>
  <si>
    <t>Support Finance immediately</t>
  </si>
  <si>
    <t>Set Health; notify Visionary path per §9C</t>
  </si>
  <si>
    <t>Hard rules: Only COO sets Health. Sub Lead never self-clears to On Track after incomplete handoff. Health improves max 1 step/month unless COO files evidence.</t>
  </si>
  <si>
    <t>5 · SHARED SERVICES — PRACTICAL PLAYBOOK</t>
  </si>
  <si>
    <t>Full SLA table: Core §7 + SS Operating Model. Below = examples Sub Leads use every week.</t>
  </si>
  <si>
    <t>Good intake example</t>
  </si>
  <si>
    <t>Bad habit (do not)</t>
  </si>
  <si>
    <t>Escalate when</t>
  </si>
  <si>
    <t>“Close week: CC feed linked; 3 new vendors with W-9s attached; need pack by BD11.”</t>
  </si>
  <si>
    <t>Shadow P&amp;L in a private Google Sheet</t>
  </si>
  <si>
    <t>Pack late or cash unclear</t>
  </si>
  <si>
    <t>Ticket: “Customer MSA — $180k ARR — need mark-up by Fri — redlines attached.”</t>
  </si>
  <si>
    <t>Sign MSA on DocuSign without ticket</t>
  </si>
  <si>
    <t>P0 day overdue or deal blocked</t>
  </si>
  <si>
    <t>“AE role brief attached; target start 6/1; budget approved in plan.”</t>
  </si>
  <si>
    <t>Verbal offer before packet</t>
  </si>
  <si>
    <t>Process bypass</t>
  </si>
  <si>
    <t>“P1: CRM down for sales team — started 09:12.”</t>
  </si>
  <si>
    <t>Shared admin password in Slack</t>
  </si>
  <si>
    <t>Any security incident same day</t>
  </si>
  <si>
    <t>“Campaign brief: Recruit 619 employer brand — budget $X — Q2.”</t>
  </si>
  <si>
    <t>Using old “619 Recruiting” brand assets</t>
  </si>
  <si>
    <t>Brand conflict / blocked launch</t>
  </si>
  <si>
    <t>Capacity rule: P0 firm/reg/closing → P1 live deal → P2 sub ops → P3 projects. COO stack-ranks firm-wide when queues collide.</t>
  </si>
  <si>
    <t>6 · CORE KPI TOUCHPOINTS (SUB LEAD)</t>
  </si>
  <si>
    <t>Definitions/calc/roll-up: Core Structure §3 only. This table = when you look at each number.</t>
  </si>
  <si>
    <t>Weekly flash</t>
  </si>
  <si>
    <t>Monthly pack</t>
  </si>
  <si>
    <t>If off-plan, do this</t>
  </si>
  <si>
    <t>Yes</t>
  </si>
  <si>
    <t>Confirm Handoff method still locked</t>
  </si>
  <si>
    <t>If available</t>
  </si>
  <si>
    <t>MoM Growth</t>
  </si>
  <si>
    <t>Write 1–2 driver sentences in pack</t>
  </si>
  <si>
    <t>Pack / Roll-up</t>
  </si>
  <si>
    <t>Investigate COGS spike with Finance</t>
  </si>
  <si>
    <t>Finish cash bridge before pack</t>
  </si>
  <si>
    <t>Reconcile with Finance bank list</t>
  </si>
  <si>
    <t>Runway Mo</t>
  </si>
  <si>
    <t>If &lt;12 → Top Risk same week</t>
  </si>
  <si>
    <t>Discuss triggers only</t>
  </si>
  <si>
    <t>COO sets</t>
  </si>
  <si>
    <t>Bring facts; never self-set</t>
  </si>
  <si>
    <t>Draft if needed</t>
  </si>
  <si>
    <t>Required if not On Track</t>
  </si>
  <si>
    <t>One sentence + named owner</t>
  </si>
  <si>
    <t>Pack notes</t>
  </si>
  <si>
    <t>If &gt;25% → FLAG path + Top Risk</t>
  </si>
  <si>
    <t>Pack</t>
  </si>
  <si>
    <t>Open roles must match plan</t>
  </si>
  <si>
    <t>FLEX (module)</t>
  </si>
  <si>
    <t>Per playbook</t>
  </si>
  <si>
    <t>Appendix</t>
  </si>
  <si>
    <t>Not money totals</t>
  </si>
  <si>
    <t>e.g. Recruit 619 placements — Alignment tab</t>
  </si>
  <si>
    <t>7 · ONBOARDING (FIRST 30 DAYS) — PRACTICAL</t>
  </si>
  <si>
    <t>Full RACI/gates: Core §8. Lightweight summary for leaders in seat:</t>
  </si>
  <si>
    <t>Week</t>
  </si>
  <si>
    <t>Must be true</t>
  </si>
  <si>
    <t>Example “done” evidence</t>
  </si>
  <si>
    <t>Wire day</t>
  </si>
  <si>
    <t>ENT-* exists; Partner on Handoff</t>
  </si>
  <si>
    <t>Entity Master row ENT-R619 / PF-R619 style</t>
  </si>
  <si>
    <t>Days 0–3</t>
  </si>
  <si>
    <t>QBE + bank feed; doc folders 01–07</t>
  </si>
  <si>
    <t>Can post a test expense; folders visible</t>
  </si>
  <si>
    <t>Days 0–7</t>
  </si>
  <si>
    <t>Handoff Pack complete; Portfolio Active row; Health starts Watch</t>
  </si>
  <si>
    <t>Revenue method locked in writing; Active shows CORE fields</t>
  </si>
  <si>
    <t>First weekly Operating Review + action log</t>
  </si>
  <si>
    <t>Calendar invite + log with ≥1 dated action</t>
  </si>
  <si>
    <t>SS access + briefing</t>
  </si>
  <si>
    <t>Sub Lead can file Finance/Legal tickets</t>
  </si>
  <si>
    <t>First BD12</t>
  </si>
  <si>
    <t>First full CORE pack + Roll-up column</t>
  </si>
  <si>
    <t>Pack PDF/sheet + Roll-up entity column non-blank</t>
  </si>
  <si>
    <t>Gate: Steps through Active row (Core §8 steps 1–5) before any On Track Health.</t>
  </si>
  <si>
    <t>8 · QUARTERLY / ANNUAL</t>
  </si>
  <si>
    <t>Meeting</t>
  </si>
  <si>
    <t>Output</t>
  </si>
  <si>
    <t>Quarterly</t>
  </si>
  <si>
    <t>Strategy &amp; Planning</t>
  </si>
  <si>
    <t>Written 90-day plan + resource/capital asks</t>
  </si>
  <si>
    <t>Annual</t>
  </si>
  <si>
    <t>Business Review + Audit</t>
  </si>
  <si>
    <t>Annual Audit Master + SA findings into firm risk</t>
  </si>
  <si>
    <t>9 · COO MULTI-COMPANY PULSE (15 MIN WEEKLY)</t>
  </si>
  <si>
    <t>1) Command Center → Portfolio Health Pulse (counts + attention). 2) Portfolio Active → filter At Risk/Critical → read Top Risk. 3) Ask Finance: any pack SLA breach this month? 4) SS queue: any P0/P1 &gt; SLA? 5) Book yourself into next weekly for any non-On Track co.</t>
  </si>
  <si>
    <t>10 · ACTION LOG TEMPLATE (COPY PER COMPANY)</t>
  </si>
  <si>
    <t>Date</t>
  </si>
  <si>
    <t>Due</t>
  </si>
  <si>
    <t>Core Subsidiary Structure (rules) · Portfolio Active · Portfolio Roll-up · Command Center · Shared Services Operating Model · Entity Master · Portfolio Handoff · Annual Audit Master · Recruit 619 Alignment · How We Run</t>
  </si>
  <si>
    <t>Recruit 619 — Alignment to Tage VC Operating System</t>
  </si>
  <si>
    <t>Canonical brand: Recruit 619 (never “619 Recruiting”). This tab bridges the Recruit 619 playbook to Tage Core Subsidiary Structure, Portfolio, Shared Services, and roll-ups.</t>
  </si>
  <si>
    <t>1 · IDENTITY (CANONICAL)</t>
  </si>
  <si>
    <t>Field</t>
  </si>
  <si>
    <t>Where stored</t>
  </si>
  <si>
    <t>Brand / display name</t>
  </si>
  <si>
    <t>Entity Master.canonical_name · all playbooks</t>
  </si>
  <si>
    <t>Do not use</t>
  </si>
  <si>
    <t>619 Recruiting, Recruit619, R619 (except IDs)</t>
  </si>
  <si>
    <t>Search-replace in playbook file</t>
  </si>
  <si>
    <t>FLEX module on Core Structure §10</t>
  </si>
  <si>
    <t>VC Invest / Launch</t>
  </si>
  <si>
    <t>Deal Flow history</t>
  </si>
  <si>
    <t>Shared Services Finance</t>
  </si>
  <si>
    <t>recruit619.com</t>
  </si>
  <si>
    <t>Public / marketing</t>
  </si>
  <si>
    <t>2 · CORE + FLEX KPI MAP (PLAYBOOK ↔ TAGE)</t>
  </si>
  <si>
    <t>Tage kpi_key / Name</t>
  </si>
  <si>
    <t>Recruit 619 playbook label (use this name)</t>
  </si>
  <si>
    <t>Calculation (align to Core Structure §3)</t>
  </si>
  <si>
    <t>Roll-up to Portfolio</t>
  </si>
  <si>
    <t>Report to</t>
  </si>
  <si>
    <t>Recruit 619 Revenue ($k)</t>
  </si>
  <si>
    <t>Recognized recruiting revenue for period (lock method in Handoff)</t>
  </si>
  <si>
    <t>Portfolio Active ARR ($k)</t>
  </si>
  <si>
    <t>Recruit 619 MoM Growth</t>
  </si>
  <si>
    <t>(Rev_t − Rev_t−1) ÷ Rev_t−1</t>
  </si>
  <si>
    <t>Portfolio weighted via ΣRev</t>
  </si>
  <si>
    <t>Portfolio Active MoM Growth</t>
  </si>
  <si>
    <t>Recruit 619 Gross Margin</t>
  </si>
  <si>
    <t>(Revenue − direct placement/COGS) ÷ Revenue</t>
  </si>
  <si>
    <t>ΣGP ÷ ΣRev</t>
  </si>
  <si>
    <t>Monthly pack → Roll-up</t>
  </si>
  <si>
    <t>Recruit 619 Net Burn</t>
  </si>
  <si>
    <t>Cash bridge; 0 if cash generative</t>
  </si>
  <si>
    <t>Portfolio Active Net Burn</t>
  </si>
  <si>
    <t>Recruit 619 Cash</t>
  </si>
  <si>
    <t>Operating bank EOM</t>
  </si>
  <si>
    <t>Portfolio Active Cash</t>
  </si>
  <si>
    <t>Recruit 619 Runway</t>
  </si>
  <si>
    <t>Cash ÷ Net Burn if burn&gt;0 else n/a</t>
  </si>
  <si>
    <t>MIN flag if &lt;12</t>
  </si>
  <si>
    <t>Portfolio Active Runway</t>
  </si>
  <si>
    <t>Recruit 619 Health</t>
  </si>
  <si>
    <t>On Track|Watch|At Risk|Critical per Core §6</t>
  </si>
  <si>
    <t>COUNT by status</t>
  </si>
  <si>
    <t>Portfolio Active Health</t>
  </si>
  <si>
    <t>Recruit 619 Top Risk</t>
  </si>
  <si>
    <t>One sentence + owner</t>
  </si>
  <si>
    <t>LIST if not On Track</t>
  </si>
  <si>
    <t>Portfolio Active Top Risk</t>
  </si>
  <si>
    <t>Recruit 619 Client Concentration</t>
  </si>
  <si>
    <t>Largest client revenue ÷ total (flag &gt;25%)</t>
  </si>
  <si>
    <t>FLAG not average</t>
  </si>
  <si>
    <t>Recruit 619 Headcount FTE</t>
  </si>
  <si>
    <t>FTE last calendar day</t>
  </si>
  <si>
    <t>placements</t>
  </si>
  <si>
    <t>Recruit 619 Placements</t>
  </si>
  <si>
    <t>Count of filled roles in period</t>
  </si>
  <si>
    <t>SUM (module)</t>
  </si>
  <si>
    <t>Pack notes / module</t>
  </si>
  <si>
    <t>fill_time_days</t>
  </si>
  <si>
    <t>Recruit 619 Avg Fill Time (days)</t>
  </si>
  <si>
    <t>Avg calendar days req open → accepted offer</t>
  </si>
  <si>
    <t>Do not blind-average across portfolio</t>
  </si>
  <si>
    <t>gp_per_desk</t>
  </si>
  <si>
    <t>Recruit 619 GP per Desk</t>
  </si>
  <si>
    <t>Gross profit ÷ producing recruiter FTE</t>
  </si>
  <si>
    <t>Module only</t>
  </si>
  <si>
    <t>Playbook naming rule: always prefix operational metrics with “Recruit 619 …” so exports map 1:1 to this table.</t>
  </si>
  <si>
    <t>3 · SHARED SERVICES (ALIGN TO TAGE SS MODEL)</t>
  </si>
  <si>
    <t>Recruit 619 must</t>
  </si>
  <si>
    <t>Shared Services provides</t>
  </si>
  <si>
    <t>SLA (Tage standard)</t>
  </si>
  <si>
    <t>Playbook reference</t>
  </si>
  <si>
    <t>Source docs; bill approves; review pack BD12; no shadow books</t>
  </si>
  <si>
    <t>QBE: Recruit 619 close, bank feed, pack</t>
  </si>
  <si>
    <t>Close BD10</t>
  </si>
  <si>
    <t>Use name Recruit 619 on all finance packs</t>
  </si>
  <si>
    <t>Ticket client/MSAs; no unsigned material client terms</t>
  </si>
  <si>
    <t>Templates, negotiation, risk flags</t>
  </si>
  <si>
    <t>5 bd / 48h rush</t>
  </si>
  <si>
    <t>Client contract playbook</t>
  </si>
  <si>
    <t>Role briefs for recruiters; compliant offers only</t>
  </si>
  <si>
    <t>Recruiting support, packets, policies</t>
  </si>
  <si>
    <t>Offer pack 5 bd post-decision</t>
  </si>
  <si>
    <t>Hiring playbook</t>
  </si>
  <si>
    <t>Same-day incident report; ATS/access via IT</t>
  </si>
  <si>
    <t>Access, security, core tools</t>
  </si>
  <si>
    <t>P1 4h; access 2 bd</t>
  </si>
  <si>
    <t>Tools stack list</t>
  </si>
  <si>
    <t>Brand as Recruit 619; campaigns via ticket</t>
  </si>
  <si>
    <t>Brand, site, campaigns</t>
  </si>
  <si>
    <t>Quarterly plan</t>
  </si>
  <si>
    <t>Always Recruit 619 not 619 Recruiting</t>
  </si>
  <si>
    <t>Escalate: Sub Lead → Service Lead → COO → Visionary (capital only). Same path as Core Structure §7 / SS Model.</t>
  </si>
  <si>
    <t>4 · OPERATING RHYTHM (MATCHES CORE §5)</t>
  </si>
  <si>
    <t>Recruit 619 meeting</t>
  </si>
  <si>
    <t>Feeds Tage</t>
  </si>
  <si>
    <t>Recruit 619 Operating Review (placements, desk, blockers)</t>
  </si>
  <si>
    <t>Action log; flash CORE KPIs</t>
  </si>
  <si>
    <t>Monthly</t>
  </si>
  <si>
    <t>Recruit 619 Performance Pack</t>
  </si>
  <si>
    <t>Portfolio Active PF-R619 + Portfolio Roll-up column</t>
  </si>
  <si>
    <t>Recruit 619 90-day plan with COO + Partner</t>
  </si>
  <si>
    <t>Thesis check vs Launch path</t>
  </si>
  <si>
    <t>Audit using SA library + Master Audit</t>
  </si>
  <si>
    <t>Firm annual review</t>
  </si>
  <si>
    <t>5 · CONNECTION TO TAGE OS</t>
  </si>
  <si>
    <t>Tage tab</t>
  </si>
  <si>
    <t>Recruit 619 relationship</t>
  </si>
  <si>
    <t>Core Subsidiary Structure</t>
  </si>
  <si>
    <t>Mandatory CORE; Recruiting = FLEX module only</t>
  </si>
  <si>
    <t>Subsidiary Operating System</t>
  </si>
  <si>
    <t>COO rhythms, SA audit, playbooks apply to Recruit 619</t>
  </si>
  <si>
    <t>ENT-R619 · canonical_name = Recruit 619</t>
  </si>
  <si>
    <t>PF-R619 row; CORE fields only on grid; FLEX in pack notes</t>
  </si>
  <si>
    <t>Column for Recruit 619 Core P&amp;L lines</t>
  </si>
  <si>
    <t>Shared Services Operating Model</t>
  </si>
  <si>
    <t>SLAs and Intuit/QBE automation for Recruit 619 entity</t>
  </si>
  <si>
    <t>Health counts include Recruit 619</t>
  </si>
  <si>
    <t>How We Run</t>
  </si>
  <si>
    <t>Subsidiary standard references Core Structure</t>
  </si>
  <si>
    <t>Separate Recruit 619 playbook file</t>
  </si>
  <si>
    <t>Detailed desk ops; must use brand Recruit 619 + KPI names in §2</t>
  </si>
  <si>
    <t>6 · PLAYBOOK FILE SYNC CHECKLIST</t>
  </si>
  <si>
    <t>Replace all “619 Recruiting” → “Recruit 619” in playbook</t>
  </si>
  <si>
    <t>Including titles, headers, diagrams</t>
  </si>
  <si>
    <t>KPI section uses §2 labels exactly</t>
  </si>
  <si>
    <t>CORE + FLEX names</t>
  </si>
  <si>
    <t>Health enum matches Core §6</t>
  </si>
  <si>
    <t>On Track|Watch|At Risk|Critical</t>
  </si>
  <si>
    <t>SS section points to Tage Shared Services Operating Model</t>
  </si>
  <si>
    <t>No conflicting SLAs</t>
  </si>
  <si>
    <t>Monthly pack exports to Portfolio Active PF-R619</t>
  </si>
  <si>
    <t>Owner: Sub Lead + Finance</t>
  </si>
  <si>
    <t>Link/URL to this Alignment tab noted in playbook cover</t>
  </si>
  <si>
    <t>Source of truth = Tage OS</t>
  </si>
  <si>
    <t>LINKS: Core Subsidiary Structure · Subsidiary Operating System · Entity Master · Portfolio Active · Portfolio Roll-up · Shared Services Operating Model · How We Run</t>
  </si>
  <si>
    <t>Tage VC — Portfolio Handoff Pack | Investment → Subsidiary COO</t>
  </si>
  <si>
    <t>Complete at wire. One pack per closed company. COO owns growth system after Day 0.</t>
  </si>
  <si>
    <t>COMPANY BRIEF</t>
  </si>
  <si>
    <t>Deal ID / Lead ID</t>
  </si>
  <si>
    <t>DE-000 / LD-099</t>
  </si>
  <si>
    <t>Tage path</t>
  </si>
  <si>
    <t>Launch</t>
  </si>
  <si>
    <t>Check / ownership</t>
  </si>
  <si>
    <t>$750k SAFE; ownership TBD at priced round</t>
  </si>
  <si>
    <t>Board / observer</t>
  </si>
  <si>
    <t>Board seat — Partner Name</t>
  </si>
  <si>
    <t>Investment thesis</t>
  </si>
  <si>
    <t>Operator-led GTM + compliance wedge in fragmented buyer workflow.</t>
  </si>
  <si>
    <t>Why we won / why now</t>
  </si>
  <si>
    <t>Founder-market fit; early design partners; clear 90-day milestones.</t>
  </si>
  <si>
    <t>WHAT GOOD LOOKS LIKE (12 MONTHS)</t>
  </si>
  <si>
    <t>KPI</t>
  </si>
  <si>
    <t>Baseline</t>
  </si>
  <si>
    <t>12-mo target</t>
  </si>
  <si>
    <t>ARR / revenue</t>
  </si>
  <si>
    <t>$0 pre</t>
  </si>
  <si>
    <t>$600k ARR</t>
  </si>
  <si>
    <t>CEO</t>
  </si>
  <si>
    <t>Customers / logos</t>
  </si>
  <si>
    <t>3 design partners</t>
  </si>
  <si>
    <t>25 paying</t>
  </si>
  <si>
    <t>CEO/GTM</t>
  </si>
  <si>
    <t>n/a</t>
  </si>
  <si>
    <t>&gt;70%</t>
  </si>
  <si>
    <t>Cash runway</t>
  </si>
  <si>
    <t>18 mo post-close</t>
  </si>
  <si>
    <t>&gt;12 mo always</t>
  </si>
  <si>
    <t>CEO/Ops</t>
  </si>
  <si>
    <t>Key hire</t>
  </si>
  <si>
    <t>Head of GTM</t>
  </si>
  <si>
    <t>COO support</t>
  </si>
  <si>
    <t>HANDOFF CHECKLIST</t>
  </si>
  <si>
    <t>Link / notes</t>
  </si>
  <si>
    <t>Executed docs + cap table final</t>
  </si>
  <si>
    <t>Data room archive access for COO</t>
  </si>
  <si>
    <t>Scorecard + Financial Model snapshot saved</t>
  </si>
  <si>
    <t>90-day operating plan agreed</t>
  </si>
  <si>
    <t>COO + CEO</t>
  </si>
  <si>
    <t>Reporting pack template (monthly)</t>
  </si>
  <si>
    <t>ARR, burn, runway, pipeline, hires, risks</t>
  </si>
  <si>
    <t>Board calendar + materials process</t>
  </si>
  <si>
    <t>Intro to Tage operator bench</t>
  </si>
  <si>
    <t>Risk register + open DD follow-ups</t>
  </si>
  <si>
    <t>Added to Portfolio Active tracker</t>
  </si>
  <si>
    <t>COO FIRST 30 DAYS</t>
  </si>
  <si>
    <t>1. Validate metrics with CEO (ARR, burn, pipeline stages).</t>
  </si>
  <si>
    <t>2. Install weekly operating rhythm (metrics, blockers, decisions).</t>
  </si>
  <si>
    <t>3. Map GTM system: ICP, funnel, conversion, capacity.</t>
  </si>
  <si>
    <t>4. Identify 1–2 leverage projects Tage operators can run in 90 days.</t>
  </si>
  <si>
    <t>5. Confirm cash controls, hiring plan, and next financing trigger.</t>
  </si>
  <si>
    <t>Tage VC — Portfolio Active | Subsidiary Ops Dashboard</t>
  </si>
  <si>
    <t>One row per company · COO owns Health + Top Risk · Blue = CORE inputs · Match Roll-up by BD15 · Command Center counts Health live</t>
  </si>
  <si>
    <t>DEADLINES</t>
  </si>
  <si>
    <t>MATCH RULE</t>
  </si>
  <si>
    <t>OWNER</t>
  </si>
  <si>
    <t>CORE $ = same-period pack / Roll-up by BD15. Health+Top Risk COO only (≤48h if Critical). Set Last Update each refresh.</t>
  </si>
  <si>
    <t>BD15 monthly</t>
  </si>
  <si>
    <t>ARR/Burn/Cash/Runway must = Portfolio Roll-up entity col for Period B13. If not → STALE (Command Center will flag).</t>
  </si>
  <si>
    <t>At risk</t>
  </si>
  <si>
    <t>Companies</t>
  </si>
  <si>
    <t>On track</t>
  </si>
  <si>
    <t>At risk+</t>
  </si>
  <si>
    <t>PF ID</t>
  </si>
  <si>
    <t>COO Owner</t>
  </si>
  <si>
    <t>Board Lead</t>
  </si>
  <si>
    <t>Next Milestone</t>
  </si>
  <si>
    <t>Early GTM conversion</t>
  </si>
  <si>
    <t>10 paying logos</t>
  </si>
  <si>
    <t>Need Head of GTM search</t>
  </si>
  <si>
    <t>DE-LAU-01</t>
  </si>
  <si>
    <t>Enterprise sales cycle</t>
  </si>
  <si>
    <t>First 5 enterprise logos</t>
  </si>
  <si>
    <t>Legal tech — portfolio disclosure OK</t>
  </si>
  <si>
    <t>DE-R619</t>
  </si>
  <si>
    <t>Client concentration</t>
  </si>
  <si>
    <t>Hit placement plan</t>
  </si>
  <si>
    <t>Recruit 619 — use Alignment tab</t>
  </si>
  <si>
    <t>Tage VC — Portfolio Roll-up | Subsidiary → Portfolio → Firm</t>
  </si>
  <si>
    <t>Monthly money proof · Core §3 methods · Blue inputs · Black formulas · E Portfolio · F Firm · G Consolidated · Sync CORE $ to Active after pack</t>
  </si>
  <si>
    <t>1) Set Period B13  2) Blue inputs = that month only  3) After pack: copy CORE $ → Portfolio Active  4) COO Health by BD15  5) Command Center must show FRESH on ARR/Burn/Cash  6) Never mix months or put FLEX in E–G</t>
  </si>
  <si>
    <t>0 · HOW TO USE (READ FIRST)</t>
  </si>
  <si>
    <t>What you do</t>
  </si>
  <si>
    <t>Result</t>
  </si>
  <si>
    <t>Set Period (B13). Finance closes each sub in QBE for that month.</t>
  </si>
  <si>
    <t>Clean books by entity_id</t>
  </si>
  <si>
    <t>Enter blue cells only under each sub column (Revenue, COGS, OpEx, Net Burn, Cash). Firm OpEx/Cash go in column F only.</t>
  </si>
  <si>
    <t>Section A inputs filled</t>
  </si>
  <si>
    <t>Leave black cells alone. E = SUM of B:D for money. Gross Margin E20 = E19/E17 (WEIGHTED). Runway E25 = MIN of numeric B25:D25. Row 26 FLAGs any runway under 12 months.</t>
  </si>
  <si>
    <t>Portfolio math correct</t>
  </si>
  <si>
    <t>Copy each sub Revenue/Burn/Cash/Runway into Portfolio Active for same period. COO sets Health + Top Risk on Portfolio Active (not calculated here).</t>
  </si>
  <si>
    <t>Ops dashboard current</t>
  </si>
  <si>
    <t>Use Section C health COUNTs and Section D Firm Snapshot in Command Center / Visionary monthly review.</t>
  </si>
  <si>
    <t>Firm pulse ready</t>
  </si>
  <si>
    <t>FLEX KPIs (placements, NRR, etc.) stay in sub packs — never enter columns E–G.</t>
  </si>
  <si>
    <t>CORE vs FLEX respected</t>
  </si>
  <si>
    <t>Legend: SUM=$ · WEIGHTED=% from totals · MIN/FLAG=risk · COUNT=health on Active · FLEX not in E–G</t>
  </si>
  <si>
    <t>Period (YYYY-MM)</t>
  </si>
  <si>
    <t>2026-03</t>
  </si>
  <si>
    <t>Currency</t>
  </si>
  <si>
    <t>USD $k</t>
  </si>
  <si>
    <t>⚠ Period B13 = pack month for ALL blue cells below. Mixing months breaks Command Center FRESH checks.</t>
  </si>
  <si>
    <t>A · CORE P&amp;L BY ENTITY ($k)</t>
  </si>
  <si>
    <t>PORTFOLIO TOTAL</t>
  </si>
  <si>
    <t>FIRM (mgmt only)</t>
  </si>
  <si>
    <t>CONSOLIDATED</t>
  </si>
  <si>
    <t>Note</t>
  </si>
  <si>
    <t>→ Portfolio Active ARR ($k)</t>
  </si>
  <si>
    <t>Runway helper (burn&gt;0 only)</t>
  </si>
  <si>
    <t>Direct costs only</t>
  </si>
  <si>
    <t>Calc then SUM</t>
  </si>
  <si>
    <t>WEIGHTED margin uses this</t>
  </si>
  <si>
    <t>Portfolio E20 = E19/E17 NOT avg(B20:D20)</t>
  </si>
  <si>
    <t>Firm OpEx only in col F</t>
  </si>
  <si>
    <t>→ Portfolio Active Net Burn</t>
  </si>
  <si>
    <t>→ Portfolio Active Cash; F24 = firm treasury</t>
  </si>
  <si>
    <t>E25 = MIN of burning entities only (not average)</t>
  </si>
  <si>
    <t>Runway &lt;12 FLAG</t>
  </si>
  <si>
    <t>Any FLAG → escalate per Core health rules</t>
  </si>
  <si>
    <t>B · METHOD CHEAT SHEET (Core Structure §3A)</t>
  </si>
  <si>
    <t>Applies to</t>
  </si>
  <si>
    <t>On this sheet</t>
  </si>
  <si>
    <t>Never</t>
  </si>
  <si>
    <t>Revenue, COGS, OpEx, Burn, Cash, Headcount</t>
  </si>
  <si>
    <t>Col E = B+C+D; Col G = E+F</t>
  </si>
  <si>
    <t>Put Firm costs in subsidiary cols</t>
  </si>
  <si>
    <t>Gross Margin %, MoM Growth %</t>
  </si>
  <si>
    <t>E20 = E19/E17 (rebuild from sums)</t>
  </si>
  <si>
    <t>Average B20:D20</t>
  </si>
  <si>
    <t>Section C COUNTIF on Portfolio Active</t>
  </si>
  <si>
    <t>Score health 1–4 and average</t>
  </si>
  <si>
    <t>LIST / FLAG</t>
  </si>
  <si>
    <t>Top Risk; concentration</t>
  </si>
  <si>
    <t>Not in P&amp;L grid — ops pack / Active filter</t>
  </si>
  <si>
    <t>Roll text into one total</t>
  </si>
  <si>
    <t>placements, NRR, fill time, etc.</t>
  </si>
  <si>
    <t>Not in cols E–G</t>
  </si>
  <si>
    <t>SUM into Portfolio Total</t>
  </si>
  <si>
    <t>C · HEALTH COUNTS (FROM PORTFOLIO ACTIVE)</t>
  </si>
  <si>
    <t>Feeds</t>
  </si>
  <si>
    <t>Command Center portfolio health</t>
  </si>
  <si>
    <t>COO watch list</t>
  </si>
  <si>
    <t>Partner escalation</t>
  </si>
  <si>
    <t>Visionary + war room</t>
  </si>
  <si>
    <t>Active companies</t>
  </si>
  <si>
    <t>Must match entity columns maintained</t>
  </si>
  <si>
    <t>D · FIRM VIEW (HOW COLS E / F / G WORK)</t>
  </si>
  <si>
    <t>Column</t>
  </si>
  <si>
    <t>Calculation</t>
  </si>
  <si>
    <t>B–D Subsidiaries</t>
  </si>
  <si>
    <t>Each portfolio company Core P&amp;L inputs</t>
  </si>
  <si>
    <t>Blue from QBE pack for Period</t>
  </si>
  <si>
    <t>E Portfolio Total</t>
  </si>
  <si>
    <t>All subsidiaries combined (ops portfolio)</t>
  </si>
  <si>
    <t>SUM B:D (money); WEIGHTED % from E sums</t>
  </si>
  <si>
    <t>F Firm (mgmt only)</t>
  </si>
  <si>
    <t>Tage VC management company — not a sub</t>
  </si>
  <si>
    <t>Blue firm OpEx/cash only; revenue usually 0</t>
  </si>
  <si>
    <t>G Consolidated</t>
  </si>
  <si>
    <t>Full economic view portfolio + firm</t>
  </si>
  <si>
    <t>E + F</t>
  </si>
  <si>
    <t>Why E vs F vs G?</t>
  </si>
  <si>
    <t>E = all subsidiaries only (ops portfolio). F = Tage management company costs/cash only — never a sub. G = E+F full economic view for Visionary.</t>
  </si>
  <si>
    <t>Firm snapshot (for Visionary / monthly firm review)</t>
  </si>
  <si>
    <t>Portfolio revenue $k</t>
  </si>
  <si>
    <t>Portfolio gross margin %</t>
  </si>
  <si>
    <t>Portfolio net burn $k</t>
  </si>
  <si>
    <t>Portfolio cash $k</t>
  </si>
  <si>
    <t>Firm-only cash $k</t>
  </si>
  <si>
    <t>Consolidated cash $k</t>
  </si>
  <si>
    <t>Min runway (burning subs)</t>
  </si>
  <si>
    <t>Runway breach any sub?</t>
  </si>
  <si>
    <t>Connection: This tab proves numbers. Portfolio Active holds ops Health/Top Risk. Command Center reads health COUNTs (C) + snapshot (D) + deal funnel.</t>
  </si>
  <si>
    <t>E · MAP TO PORTFOLIO ACTIVE</t>
  </si>
  <si>
    <t>Portfolio Active field</t>
  </si>
  <si>
    <t>Source on this tab / process</t>
  </si>
  <si>
    <t>Entity column Revenue row (e.g. B17) for that company</t>
  </si>
  <si>
    <t>Compute from this month vs prior period revenue (WEIGHTED at portfolio)</t>
  </si>
  <si>
    <t>Entity Net Burn row</t>
  </si>
  <si>
    <t>Entity Runway row (n/a if not burning)</t>
  </si>
  <si>
    <t>Entity Ending Cash row</t>
  </si>
  <si>
    <t>Health / Top Risk</t>
  </si>
  <si>
    <t>Set by COO on Portfolio Active (not calculated here); counts appear in §C</t>
  </si>
  <si>
    <t>F · MAINTAINER NOTES</t>
  </si>
  <si>
    <t>Add a company: insert column before E, copy B formulas pattern, add name in row 16, extend SUM ranges B:x.</t>
  </si>
  <si>
    <t>Prior period: keep a copy of this sheet or columns for t−1 to support MoM WEIGHTED at portfolio.</t>
  </si>
  <si>
    <t>Authority: Core Subsidiary Structure §3. Brand: Brand &amp; Styling Guide.</t>
  </si>
  <si>
    <t>LINKS: Core Subsidiary Structure §3 · Portfolio Active · Command Center · Entity Master · Recruit 619 Alignment · Firm Operations · Shared Services Operating Model · Brand &amp; Styling Guide</t>
  </si>
  <si>
    <t>Tage VC — Shared Services Operating Model</t>
  </si>
  <si>
    <t>Practical cadences for Finance, Legal, HR, Tech, Marketing. Serves Firm + all Subsidiaries. Owner: COO (stack-rank); Service Leads execute. Blue = firm-specific inputs.</t>
  </si>
  <si>
    <t>0 · GLOBAL RULES</t>
  </si>
  <si>
    <t>Intake: ticket (or close checklist for Finance). Priority: P0 firm/reg/closing → P1 live deal CP → P2 subsidiary ops → P3 projects.</t>
  </si>
  <si>
    <t>Escalate: Service Lead → COO → Visionary (capital/reputation only). SLA breach logged monthly to Firm Operations.</t>
  </si>
  <si>
    <t>Tools spine: Intuit Enterprise / QuickBooks Enterprise (QBE) + bank feeds · ticket system · this workbook · data room.</t>
  </si>
  <si>
    <t>1 · ACCOUNTING &amp; FINANCE</t>
  </si>
  <si>
    <t>Task / Activity</t>
  </si>
  <si>
    <t>Frequency</t>
  </si>
  <si>
    <t>Automation Potential</t>
  </si>
  <si>
    <t>Notes / Tools</t>
  </si>
  <si>
    <t>Bank feed match &amp; exception clear</t>
  </si>
  <si>
    <t>QBE bank feeds; rules for recurring vendors</t>
  </si>
  <si>
    <t>AP bill entry + approval queue</t>
  </si>
  <si>
    <t>Finance + Sub approvers</t>
  </si>
  <si>
    <t>Bill Pay / Bill.com or QBE Bill Pay; dual approval &gt;threshold</t>
  </si>
  <si>
    <t>AR invoice send + collections touch</t>
  </si>
  <si>
    <t>Recurring invoices in QBE; auto-reminders</t>
  </si>
  <si>
    <t>Cash position flash (firm + material subs)</t>
  </si>
  <si>
    <t>QBE cash report → Command Center note</t>
  </si>
  <si>
    <t>Payroll journal import / review</t>
  </si>
  <si>
    <t>Per payroll</t>
  </si>
  <si>
    <t>Payroll sync to QBE (Intuit Payroll or Gusto→QBE)</t>
  </si>
  <si>
    <t>Month-end close checklist execute</t>
  </si>
  <si>
    <t>QBE Close Management / checklist; target BD10</t>
  </si>
  <si>
    <t>Reconcile all balance sheet accounts</t>
  </si>
  <si>
    <t>QBE recon tools; bank + CC + loan</t>
  </si>
  <si>
    <t>Subsidiary monthly pack (P&amp;L, BS, cash, burn, runway)</t>
  </si>
  <si>
    <t>Memorized reports / management reports → Portfolio Active</t>
  </si>
  <si>
    <t>Firm consolidated view for Visionary</t>
  </si>
  <si>
    <t>Classes/locations per entity in QBE; firm P&amp;L</t>
  </si>
  <si>
    <t>Sales tax / nexus check (if applicable)</t>
  </si>
  <si>
    <t>Monthly / Quarterly</t>
  </si>
  <si>
    <t>Intuit sales tax or Avalara link</t>
  </si>
  <si>
    <t>Budget vs actual review with COO</t>
  </si>
  <si>
    <t>Finance + COO</t>
  </si>
  <si>
    <t>Budgets in QBE; variance report</t>
  </si>
  <si>
    <t>1099 / W-2 prep &amp; filing</t>
  </si>
  <si>
    <t>Intuit 1099 e-file</t>
  </si>
  <si>
    <t>Corporate tax package to CPA</t>
  </si>
  <si>
    <t>Finance + CPA</t>
  </si>
  <si>
    <t>Trial balance export from QBE</t>
  </si>
  <si>
    <t>Fixed asset rollforward &amp; depreciation</t>
  </si>
  <si>
    <t>Annual / Monthly</t>
  </si>
  <si>
    <t>QBE Fixed Asset Manager if used</t>
  </si>
  <si>
    <t>Insurance premium allocation across entities</t>
  </si>
  <si>
    <t>Annual + changes</t>
  </si>
  <si>
    <t>Finance + Ops</t>
  </si>
  <si>
    <t>Classes in QBE</t>
  </si>
  <si>
    <t>Finance annual audit items (see also Master Audit)</t>
  </si>
  <si>
    <t>Bank confirms, cutoff, related party, equity rollforward</t>
  </si>
  <si>
    <t>Finance automation (Intuit focus): bank rules · recurring bills/invoices · close checklist · memorized reports · payroll import · multi-entity classes · scheduled email reports to COO/Visionary.</t>
  </si>
  <si>
    <t>2 · LEGAL &amp; COMPLIANCE</t>
  </si>
  <si>
    <t>Ticket triage &amp; SLA clock</t>
  </si>
  <si>
    <t>Ticket tool; P0 closing/litigation first</t>
  </si>
  <si>
    <t>Live deal CP / PSA-SPA support queue</t>
  </si>
  <si>
    <t>Link Deal Tasks / M&amp;A Tasks / RE Tasks</t>
  </si>
  <si>
    <t>Contract template hygiene check</t>
  </si>
  <si>
    <t>Version control in knowledge base</t>
  </si>
  <si>
    <t>Open matters &amp; deadline calendar review</t>
  </si>
  <si>
    <t>Calendar + matter list</t>
  </si>
  <si>
    <t>Entity good-standing / registered agent check</t>
  </si>
  <si>
    <t>Secretary of state alerts where available</t>
  </si>
  <si>
    <t>Insurance certificate &amp; coverage gap review</t>
  </si>
  <si>
    <t>Broker portal</t>
  </si>
  <si>
    <t>IP / trademark docket (if any)</t>
  </si>
  <si>
    <t>Semi-annual</t>
  </si>
  <si>
    <t>Docketing tool</t>
  </si>
  <si>
    <t>Policy refresh (privacy, employee handbook legal)</t>
  </si>
  <si>
    <t>Counsel + HR</t>
  </si>
  <si>
    <t>With HR annual cycle</t>
  </si>
  <si>
    <t>Litigation hold / dispute register update</t>
  </si>
  <si>
    <t>As needed + Annual</t>
  </si>
  <si>
    <t>Firm risk register input</t>
  </si>
  <si>
    <t>Legal annual audit items</t>
  </si>
  <si>
    <t>Entities, contracts sample, IP, insurance, disputes</t>
  </si>
  <si>
    <t>Legal automation: intake forms · e-sign (DocuSign) · matter deadlines · template library · calendar holds. Not full legal judgment.</t>
  </si>
  <si>
    <t>3 · HUMAN RESOURCES</t>
  </si>
  <si>
    <t>Open req / pipeline status with hiring managers</t>
  </si>
  <si>
    <t>HR Lead</t>
  </si>
  <si>
    <t>ATS; subsidiary hiring playbook</t>
  </si>
  <si>
    <t>Onboarding checklist (firm + sub)</t>
  </si>
  <si>
    <t>Per hire</t>
  </si>
  <si>
    <t>HR + Manager</t>
  </si>
  <si>
    <t>Checklist; auto IT access ticket</t>
  </si>
  <si>
    <t>Payroll change audit (new/term/comp)</t>
  </si>
  <si>
    <t>HR + Finance</t>
  </si>
  <si>
    <t>Payroll → QBE</t>
  </si>
  <si>
    <t>Headcount vs plan to COO</t>
  </si>
  <si>
    <t>Firm capacity KPI</t>
  </si>
  <si>
    <t>Performance cycle checkpoints</t>
  </si>
  <si>
    <t>Quarterly / Annual</t>
  </si>
  <si>
    <t>HR + Managers</t>
  </si>
  <si>
    <t>Standard calendar</t>
  </si>
  <si>
    <t>Handbook acknowledgment</t>
  </si>
  <si>
    <t>Annual + hire</t>
  </si>
  <si>
    <t>Benefits open enrollment</t>
  </si>
  <si>
    <t>HR annual audit items</t>
  </si>
  <si>
    <t>I-9, classification, files, claims</t>
  </si>
  <si>
    <t>HR automation: ATS · onboarding checklists · payroll sync QBE · e-sign policies.</t>
  </si>
  <si>
    <t>I-9, classification, files, handbooks, claims</t>
  </si>
  <si>
    <t>4 · TECHNOLOGY / IT</t>
  </si>
  <si>
    <t>Ticket / incident triage</t>
  </si>
  <si>
    <t>Tech Lead</t>
  </si>
  <si>
    <t>P0 security · P1 outage</t>
  </si>
  <si>
    <t>Joiners / movers / leavers access</t>
  </si>
  <si>
    <t>IdP; pair with HR term</t>
  </si>
  <si>
    <t>Backup / restore sample test</t>
  </si>
  <si>
    <t>Cloud backup reports</t>
  </si>
  <si>
    <t>MFA / admin access review</t>
  </si>
  <si>
    <t>IdP admin audit</t>
  </si>
  <si>
    <t>SaaS license &amp; spend cleanup</t>
  </si>
  <si>
    <t>Tech + Finance</t>
  </si>
  <si>
    <t>QBE vendor spend</t>
  </si>
  <si>
    <t>Device compliance / MDM</t>
  </si>
  <si>
    <t>MDM console</t>
  </si>
  <si>
    <t>DR / incident tabletop</t>
  </si>
  <si>
    <t>Tech + COO</t>
  </si>
  <si>
    <t>Lessons logged</t>
  </si>
  <si>
    <t>IT annual audit items</t>
  </si>
  <si>
    <t>Access, backups, vendors, incidents</t>
  </si>
  <si>
    <t>IT automation: IdP provisioning · MDM · backup alerts · ticket SLAs. Protect QBE admin.</t>
  </si>
  <si>
    <t>Tech Lead + COO</t>
  </si>
  <si>
    <t>Document lessons</t>
  </si>
  <si>
    <t>5 · MARKETING (SHARED SUPPORT)</t>
  </si>
  <si>
    <t>Inbound routing to VC / M&amp;A / RE track</t>
  </si>
  <si>
    <t>Marketing + Associate</t>
  </si>
  <si>
    <t>Form → correct pipeline</t>
  </si>
  <si>
    <t>Content / SEO performance</t>
  </si>
  <si>
    <t>Marketing Lead</t>
  </si>
  <si>
    <t>Analytics</t>
  </si>
  <si>
    <t>Brand &amp; website hygiene</t>
  </si>
  <si>
    <t>CMS</t>
  </si>
  <si>
    <t>Subsidiary campaign support queue</t>
  </si>
  <si>
    <t>Ticket + quarterly brief</t>
  </si>
  <si>
    <t>Quarterly plan vs firm priorities</t>
  </si>
  <si>
    <t>Marketing + Visionary path</t>
  </si>
  <si>
    <t>Firm Ops strategy</t>
  </si>
  <si>
    <t>Marketing annual audit items</t>
  </si>
  <si>
    <t>Spend ROI, lead quality, claim compliance</t>
  </si>
  <si>
    <t>Marketing automation: form routing · CRM · email sequences. Human approve founder pass emails.</t>
  </si>
  <si>
    <t>6 · CROSS-LAYER LINKS</t>
  </si>
  <si>
    <t>Finance packs → Portfolio Active + Command Center runway flags</t>
  </si>
  <si>
    <t>Visionary + Marketing</t>
  </si>
  <si>
    <t>With annual plan</t>
  </si>
  <si>
    <t>Legal on live deals → Deal / M&amp;A / RE Tasks Evidence</t>
  </si>
  <si>
    <t>Brand consistency, spend ROI, lead quality, compliance claims</t>
  </si>
  <si>
    <t>HR headcount → Firm capacity KPI + Subsidiary hiring</t>
  </si>
  <si>
    <t>IT offboarding same day as HR term; lock QBE admin</t>
  </si>
  <si>
    <t>Marketing inbound → correct pipeline same day</t>
  </si>
  <si>
    <t>LINKS: Firm Operations · Subsidiary Operating System · Portfolio Active · Command Center · How We Run · Annual Audit Master · §7 Grok+Cursor Ticketing</t>
  </si>
  <si>
    <t>Legal tickets on live deals → Deal / M&amp;A / RE Tasks Evidence column</t>
  </si>
  <si>
    <t>HR headcount → Firm capacity KPI + Subsidiary hiring playbook</t>
  </si>
  <si>
    <t>IT offboarding → same day as HR termination; protect QBE admin access</t>
  </si>
  <si>
    <t>Marketing inbound → correct Pipeline (VC vs M&amp;A vs RE) same day</t>
  </si>
  <si>
    <t>LINKS: Firm Operations · Sub OS · Portfolio Active · Command Center · How We Run · Annual Audit · §7 Grok+Cursor Ticketing &amp; Automation</t>
  </si>
  <si>
    <t>7 · GROK + CURSOR TICKETING &amp; AUTOMATION</t>
  </si>
  <si>
    <t>Policy: COO · Domain: Service Leads · System: Admin. Implement bands + forbid-list server-side (not prompt-only). Day-to-day users: read At a Glance + Forbid-list. Builders: full section.</t>
  </si>
  <si>
    <t>AT A GLANCE (START HERE)</t>
  </si>
  <si>
    <t>Topic</t>
  </si>
  <si>
    <t>Rule</t>
  </si>
  <si>
    <t>Human always</t>
  </si>
  <si>
    <t>Flow</t>
  </si>
  <si>
    <t>Intake → Diagnose (band + confidence) → Act → Resolve → Learn</t>
  </si>
  <si>
    <t>Requester opens ticket</t>
  </si>
  <si>
    <t>AUTO</t>
  </si>
  <si>
    <t>Allow-listed only · confidence ≥90% · low risk · always logged</t>
  </si>
  <si>
    <t>Owns allow-list policy (COO)</t>
  </si>
  <si>
    <t>DRAFT</t>
  </si>
  <si>
    <t>Confidence 60–89% or medium complexity → draft + recommend</t>
  </si>
  <si>
    <t>Approve / Edit / Reject before side effects</t>
  </si>
  <si>
    <t>ESCALATE</t>
  </si>
  <si>
    <t>Confidence &lt;60% · P0 · ambiguous · or forbid-list hit</t>
  </si>
  <si>
    <t>Service Lead / COO / Partner acts</t>
  </si>
  <si>
    <t>Never auto</t>
  </si>
  <si>
    <t>Wires · Health · capital DocuSign Send · CORE changes · external founder/investor email · IC · silent P0 close</t>
  </si>
  <si>
    <t>See Forbid-list table</t>
  </si>
  <si>
    <t>v0 shadow → v1 allow-list AUTO → v2 expand (50+ drafts, ≤2% edits, COO sign-off) → v3 + monthly demote</t>
  </si>
  <si>
    <t>COO signs every AUTO expansion</t>
  </si>
  <si>
    <t>7A · PURPOSE</t>
  </si>
  <si>
    <t>Cut repetitive ticket load and speed diagnosis while humans stay accountable. Never bypass capital, Health, or capital DocuSign controls.</t>
  </si>
  <si>
    <t>7B · LIFECYCLE (COMPACT)</t>
  </si>
  <si>
    <t>Actor</t>
  </si>
  <si>
    <t>Does</t>
  </si>
  <si>
    <t>Must log</t>
  </si>
  <si>
    <t>1 Intake</t>
  </si>
  <si>
    <t>Human</t>
  </si>
  <si>
    <t>Ticket: service, P0–P3, links, deadline, outcome</t>
  </si>
  <si>
    <t>ticket_id, who, priority, service</t>
  </si>
  <si>
    <t>2 Diagnose</t>
  </si>
  <si>
    <t>Grok/Cursor</t>
  </si>
  <si>
    <t>Classify service + AUTO/DRAFT/ESCALATE; confidence %; context pull</t>
  </si>
  <si>
    <t>band, confidence, reasoning, refs</t>
  </si>
  <si>
    <t>3 Act</t>
  </si>
  <si>
    <t>Agent ± human</t>
  </si>
  <si>
    <t>Execute / wait approve / escalate with recommendation</t>
  </si>
  <si>
    <t>action, payload hash, approval</t>
  </si>
  <si>
    <t>4 Resolve</t>
  </si>
  <si>
    <t>Service Lead</t>
  </si>
  <si>
    <t>Close or take over with full pack</t>
  </si>
  <si>
    <t>resolution, override flag</t>
  </si>
  <si>
    <t>5 Learn</t>
  </si>
  <si>
    <t>COO + Admin</t>
  </si>
  <si>
    <t>Monthly AUTO review; allow-list changes only in writing</t>
  </si>
  <si>
    <t>policy_version</t>
  </si>
  <si>
    <t>7C · BANDS (SUMMARY)</t>
  </si>
  <si>
    <t>Band</t>
  </si>
  <si>
    <t>Trigger</t>
  </si>
  <si>
    <t>Agent does</t>
  </si>
  <si>
    <t>Examples (not exhaustive)</t>
  </si>
  <si>
    <t>≥90% + on allow-list + not forbid-list</t>
  </si>
  <si>
    <t>Execute + log + notify</t>
  </si>
  <si>
    <t>Spawn missing stage tasks; tag ticket service; SLA nudge</t>
  </si>
  <si>
    <t>60–89% or medium complexity</t>
  </si>
  <si>
    <t>Draft only; wait human</t>
  </si>
  <si>
    <t>IC memo draft; DD request list; pack narrative</t>
  </si>
  <si>
    <t>&lt;60% or P0 or forbid-list</t>
  </si>
  <si>
    <t>Hand off + recommend</t>
  </si>
  <si>
    <t>Wire asks; Health change; capital DocuSign; founder email</t>
  </si>
  <si>
    <t>7D · FORBID-LIST (NEVER AUTO)</t>
  </si>
  <si>
    <t>Human required</t>
  </si>
  <si>
    <t>Capital deploy / wires / dual-control pay</t>
  </si>
  <si>
    <t>Finance (+ Visionary as required)</t>
  </si>
  <si>
    <t>Set/change Health on Portfolio Active</t>
  </si>
  <si>
    <t>COO only</t>
  </si>
  <si>
    <t>DocuSign Send on capital docs (TS/SPA/PSA/wire)</t>
  </si>
  <si>
    <t>Counsel/Partner Send</t>
  </si>
  <si>
    <t>CORE standard changes</t>
  </si>
  <si>
    <t>Visionary exception</t>
  </si>
  <si>
    <t>External email to founders/investors without approve</t>
  </si>
  <si>
    <t>Partner/Associate</t>
  </si>
  <si>
    <t>IC approve / go-no-go</t>
  </si>
  <si>
    <t>Silent-close P0 / security without human ack</t>
  </si>
  <si>
    <t>Service Lead + COO</t>
  </si>
  <si>
    <t>Even at 99% confidence, forbid-list types stay human. Enforce in API policy engine.</t>
  </si>
  <si>
    <t>7E · AUTONOMY GROWTH (ONE LINE PER PHASE)</t>
  </si>
  <si>
    <t>v0 Shadow — diagnose/draft only, 0% auto. v1 Assist — AUTO only on COO-signed allow-list (≥95% success, 0 forbid hits). v2 Expand — add types only after 50+ DRAFT samples, ≤2% material edits, Service Lead + COO sign-off, policy_version++. v3 Steady — high AUTO volume on repetitive work; monthly demote if error rate rises. Never promote forbid-list types.</t>
  </si>
  <si>
    <t>7F · AUDIT LOG (COMPACT)</t>
  </si>
  <si>
    <t>Every agent action (AUTO, DRAFT, ESCALATE) writes an append-only row. Minimum fields: audit_id · ticket_id · timestamp (UTC) · actor (agent_version|human_id) · band · confidence · reasoning_summary · context_refs · action_type · payload_hash · approval_status · human_override_flag. No AUTO without a log. (Field-level schema can live in portal Data Dictionary / appendix later.)</t>
  </si>
  <si>
    <t>7G · DAY-TO-DAY</t>
  </si>
  <si>
    <t>Requester: clear outcome + deadline + links (no wire-only-in-chat). Service Lead: clear DRAFT queue daily; never rubber-stamp capital/Health. COO: monthly AUTO metrics + allow-list yes/no. Builders: bands + forbid-list in server policy (Cursor Brief + Portal Architecture §9).</t>
  </si>
  <si>
    <t>LINKS: Portal Architecture §9 · Cursor Brief · Platform Spec · Core Structure §6/§9 · Document Management · Firm Operations · Sub OS · Command Center · How We Run</t>
  </si>
  <si>
    <t>Note: If §7 grows again, keep At a Glance + Forbid-list on this tab; move long example libraries and field schemas to a portal appendix / Data Dictionary.</t>
  </si>
  <si>
    <t>Annual Audit Master Checklist — Firm + Subsidiaries</t>
  </si>
  <si>
    <t>Master library. Copy block per Year and Scope (Firm or Company name). Status: Not Started | In Progress | Complete | N/A. Blue = inputs.</t>
  </si>
  <si>
    <t>Scope (Firm or Company)</t>
  </si>
  <si>
    <t>Lead auditor</t>
  </si>
  <si>
    <t>Domain</t>
  </si>
  <si>
    <t>Audit item</t>
  </si>
  <si>
    <t>Evidence / finding</t>
  </si>
  <si>
    <t>AUD-F01</t>
  </si>
  <si>
    <t>Firm + Subs</t>
  </si>
  <si>
    <t>Bank reconciliations complete all material accounts</t>
  </si>
  <si>
    <t>AUD-F02</t>
  </si>
  <si>
    <t>Dual control on wires; approval matrix current</t>
  </si>
  <si>
    <t>AUD-F03</t>
  </si>
  <si>
    <t>Month close packs produced within BD10 SLA last 12 months</t>
  </si>
  <si>
    <t>AUD-F04</t>
  </si>
  <si>
    <t>Related-party transactions disclosed and documented</t>
  </si>
  <si>
    <t>Finance + Counsel</t>
  </si>
  <si>
    <t>AUD-F05</t>
  </si>
  <si>
    <t>1099/W-2 and tax packages filed / with CPA</t>
  </si>
  <si>
    <t>AUD-F06</t>
  </si>
  <si>
    <t>Subs</t>
  </si>
  <si>
    <t>Equity / cap table or membership rollforward ties to books</t>
  </si>
  <si>
    <t>AUD-L01</t>
  </si>
  <si>
    <t>Entities in good standing; agents current</t>
  </si>
  <si>
    <t>AUD-L02</t>
  </si>
  <si>
    <t>Material contracts inventory sample-tested</t>
  </si>
  <si>
    <t>AUD-L03</t>
  </si>
  <si>
    <t>Litigation / dispute register complete</t>
  </si>
  <si>
    <t>AUD-L04</t>
  </si>
  <si>
    <t>Insurance adequate (D&amp;O, E&amp;O, cyber, property)</t>
  </si>
  <si>
    <t>AUD-L05</t>
  </si>
  <si>
    <t>IP ownership / assignments clean if product co</t>
  </si>
  <si>
    <t>AUD-H01</t>
  </si>
  <si>
    <t>I-9 / employment eligibility files complete</t>
  </si>
  <si>
    <t>AUD-H02</t>
  </si>
  <si>
    <t>Contractor vs employee classification review</t>
  </si>
  <si>
    <t>HR + Counsel</t>
  </si>
  <si>
    <t>AUD-H03</t>
  </si>
  <si>
    <t>Handbook current; acknowledgments on file</t>
  </si>
  <si>
    <t>AUD-H04</t>
  </si>
  <si>
    <t>Open claims / investigations status</t>
  </si>
  <si>
    <t>AUD-T01</t>
  </si>
  <si>
    <t>Admin access &amp; MFA review completed</t>
  </si>
  <si>
    <t>AUD-T02</t>
  </si>
  <si>
    <t>Backup restore test documented</t>
  </si>
  <si>
    <t>AUD-T03</t>
  </si>
  <si>
    <t>Offboarding completed for all leavers last 12 months</t>
  </si>
  <si>
    <t>Tech + HR</t>
  </si>
  <si>
    <t>AUD-T04</t>
  </si>
  <si>
    <t>QBE / finance system admin access dual-controlled</t>
  </si>
  <si>
    <t>AUD-O01</t>
  </si>
  <si>
    <t>Firm Ops</t>
  </si>
  <si>
    <t>Capital allocation targets reviewed this year</t>
  </si>
  <si>
    <t>AUD-O02</t>
  </si>
  <si>
    <t>Shared Services SLA breaches reviewed and remediated</t>
  </si>
  <si>
    <t>AUD-O03</t>
  </si>
  <si>
    <t>Key person / succession plan updated</t>
  </si>
  <si>
    <t>AUD-O04</t>
  </si>
  <si>
    <t>Firm risk register reviewed</t>
  </si>
  <si>
    <t>Visionary + COO</t>
  </si>
  <si>
    <t>AUD-O05</t>
  </si>
  <si>
    <t>Lessons learned log maintained for closed/walked deals</t>
  </si>
  <si>
    <t>AUD-S01</t>
  </si>
  <si>
    <t>Run SA-01..SA-25 library from Subsidiary Operating System</t>
  </si>
  <si>
    <t>Per company</t>
  </si>
  <si>
    <t>AUD-S02</t>
  </si>
  <si>
    <t>Portfolio Active health accurate vs monthly pack</t>
  </si>
  <si>
    <t>How to use: set Year + Scope. Filter Applies to. Complete Status/Evidence. For each subsidiary, copy SA items from Subsidiary Operating System and paste below or duplicate sheet.</t>
  </si>
  <si>
    <t>LINKS: Shared Services Operating Model · Firm Operations · Subsidiary Operating System · Portfolio Active · Command Center</t>
  </si>
  <si>
    <t>Layer 3 of 3: running Tage as a firm. Visionary owns direction + capital. COO owns Shared Services + subsidiary performance system.</t>
  </si>
  <si>
    <t>1 · FIRM-LEVEL OPERATING RHYTHM</t>
  </si>
  <si>
    <t>Command Center Review</t>
  </si>
  <si>
    <t>Firm pulse, pipeline health, blockers</t>
  </si>
  <si>
    <t>Action items</t>
  </si>
  <si>
    <t>Bi-weekly</t>
  </si>
  <si>
    <t>Capital Allocation Review</t>
  </si>
  <si>
    <t>Visionary + Partners</t>
  </si>
  <si>
    <t>Capital across VC / M&amp;A / RE</t>
  </si>
  <si>
    <t>Updated allocation view</t>
  </si>
  <si>
    <t>Firm Performance Review</t>
  </si>
  <si>
    <t>Firm health, shared services, team</t>
  </si>
  <si>
    <t>Monthly firm report</t>
  </si>
  <si>
    <t>Strategy &amp; Priorities</t>
  </si>
  <si>
    <t>Direction, resources, new initiatives</t>
  </si>
  <si>
    <t>Quarterly priorities</t>
  </si>
  <si>
    <t>Firm Review &amp; Planning</t>
  </si>
  <si>
    <t>Full year + next year plan</t>
  </si>
  <si>
    <t>Annual operating plan</t>
  </si>
  <si>
    <t>2 · CAPITAL ALLOCATION FRAMEWORK</t>
  </si>
  <si>
    <t>Target %</t>
  </si>
  <si>
    <t>Min %</t>
  </si>
  <si>
    <t>Max %</t>
  </si>
  <si>
    <t>Primary scoreboard</t>
  </si>
  <si>
    <t>Book owner</t>
  </si>
  <si>
    <t>Command Center deal $ + Pipeline</t>
  </si>
  <si>
    <t>M&amp;A Pipeline EV + Closed Acquired</t>
  </si>
  <si>
    <t>Partners + COO</t>
  </si>
  <si>
    <t>RE Pipeline + RE Portfolio basis</t>
  </si>
  <si>
    <t>RE Sourcers + Partner</t>
  </si>
  <si>
    <t>Total target</t>
  </si>
  <si>
    <t>Deployment thresholds (set firm $ in blue)</t>
  </si>
  <si>
    <t>Amount (define)</t>
  </si>
  <si>
    <t>Approver</t>
  </si>
  <si>
    <t>Required docs</t>
  </si>
  <si>
    <t>Logged where</t>
  </si>
  <si>
    <t>Sourcer / associate authority</t>
  </si>
  <si>
    <t>$0 — propose only</t>
  </si>
  <si>
    <t>Pipeline row + underwrite draft</t>
  </si>
  <si>
    <t>Partner band</t>
  </si>
  <si>
    <t>Up to $X (set)</t>
  </si>
  <si>
    <t>Scorecard + model; IC lite if edge case</t>
  </si>
  <si>
    <t>Deal/MA/RE Active + IC log</t>
  </si>
  <si>
    <t>Partner + Visionary band</t>
  </si>
  <si>
    <t>Above $X to $Y</t>
  </si>
  <si>
    <t>Partner + Visionary</t>
  </si>
  <si>
    <t>Full IC memo + scorecard + model</t>
  </si>
  <si>
    <t>IC package archive</t>
  </si>
  <si>
    <t>Exception / outside allocation range</t>
  </si>
  <si>
    <t>Any size outside min–max track %</t>
  </si>
  <si>
    <t>Capital memo + rationale vs quarterly plan</t>
  </si>
  <si>
    <t>Quarterly capital memo</t>
  </si>
  <si>
    <t>3 · SHARED SERVICES OPERATING MODEL</t>
  </si>
  <si>
    <t>Tracking: Bi-weekly Capital Allocation Review uses Command Center $ in flight + closed deploys. Rebalance if a track &gt; Max % for 2 quarters without Visionary exception.</t>
  </si>
  <si>
    <t>Accounting &amp; Finance</t>
  </si>
  <si>
    <t>Firm + All Subsidiaries</t>
  </si>
  <si>
    <t>Ticket or direct request</t>
  </si>
  <si>
    <t>Define per service</t>
  </si>
  <si>
    <t>3 · SHARED SERVICES OPERATING SYSTEM</t>
  </si>
  <si>
    <t>Users</t>
  </si>
  <si>
    <t>Intake</t>
  </si>
  <si>
    <t>Prioritization</t>
  </si>
  <si>
    <t>SLA examples</t>
  </si>
  <si>
    <t>Escalate</t>
  </si>
  <si>
    <t>Firm + all subs</t>
  </si>
  <si>
    <t>Close checklist + ticket</t>
  </si>
  <si>
    <t>P0 cash/wire · P1 close · P2 projects</t>
  </si>
  <si>
    <t>Close BD10; wires same-day if dual-ok</t>
  </si>
  <si>
    <t>COO → Visionary</t>
  </si>
  <si>
    <t>Ticket + deadline + docs</t>
  </si>
  <si>
    <t>P0 litigation/closing · P1 deals · P2 templates</t>
  </si>
  <si>
    <t>Std 5 bd; rush 48h</t>
  </si>
  <si>
    <t>Partner on deal risk</t>
  </si>
  <si>
    <t>Firm + subs as needed</t>
  </si>
  <si>
    <t>Quarterly brief + ticket</t>
  </si>
  <si>
    <t>Firm brand first · then revenue campaigns</t>
  </si>
  <si>
    <t>Quarterly plan locked</t>
  </si>
  <si>
    <t>Technology</t>
  </si>
  <si>
    <t>Ticket (incident/access/project)</t>
  </si>
  <si>
    <t>P0 security · P1 outage · P2 projects</t>
  </si>
  <si>
    <t>COO on security</t>
  </si>
  <si>
    <t>Human Resources</t>
  </si>
  <si>
    <t>Ticket + role brief</t>
  </si>
  <si>
    <t>Open roles by firm priority list</t>
  </si>
  <si>
    <t>COO / Visionary hiring</t>
  </si>
  <si>
    <t>New deal / investment approval</t>
  </si>
  <si>
    <t>IC</t>
  </si>
  <si>
    <t>Deal Scorecard + IC memo</t>
  </si>
  <si>
    <t>Prioritization rule: Firm closing / regulatory &gt; live deal CPs &gt; subsidiary P1 ops &gt; projects. COO holds weekly Shared Services triage if backlog &gt; SLA.</t>
  </si>
  <si>
    <t>New subsidiary or major initiative</t>
  </si>
  <si>
    <t>Strategy document</t>
  </si>
  <si>
    <t>4 · GOVERNANCE — VISIONARY · PARTNERS · COO</t>
  </si>
  <si>
    <t>COO Subsidiaries</t>
  </si>
  <si>
    <t>Documentation</t>
  </si>
  <si>
    <t>Firm strategy &amp; annual plan</t>
  </si>
  <si>
    <t>Decides</t>
  </si>
  <si>
    <t>Consulted</t>
  </si>
  <si>
    <t>Consulted (ops capacity)</t>
  </si>
  <si>
    <t>Capital allocation across tracks</t>
  </si>
  <si>
    <t>Consulted + data</t>
  </si>
  <si>
    <t>Consulted (sub cash needs)</t>
  </si>
  <si>
    <t>New VC / M&amp;A / RE deal approve</t>
  </si>
  <si>
    <t>Co-approves above band</t>
  </si>
  <si>
    <t>Leads IC + sponsor</t>
  </si>
  <si>
    <t>Consulted if integration load</t>
  </si>
  <si>
    <t>Scorecard + IC memo</t>
  </si>
  <si>
    <t>Subsidiary performance / health</t>
  </si>
  <si>
    <t>Informed</t>
  </si>
  <si>
    <t>Board / thesis owner</t>
  </si>
  <si>
    <t>Owns system + outcomes</t>
  </si>
  <si>
    <t>Portfolio Active + monthly pack</t>
  </si>
  <si>
    <t>Shared Services priorities</t>
  </si>
  <si>
    <t>Breaks ties</t>
  </si>
  <si>
    <t>Requestors</t>
  </si>
  <si>
    <t>Decides stack-rank</t>
  </si>
  <si>
    <t>Quarterly SS priorities</t>
  </si>
  <si>
    <t>Firm hiring (leadership)</t>
  </si>
  <si>
    <t>Offer approval</t>
  </si>
  <si>
    <t>Major brand / public positions</t>
  </si>
  <si>
    <t>Comms note</t>
  </si>
  <si>
    <t>Documentation standards</t>
  </si>
  <si>
    <t>Canonical Company name; archive don’t delete; blue=inputs</t>
  </si>
  <si>
    <t>Conflict rule: If Partner deal urgency conflicts with subsidiary capacity, COO flags; Visionary decides resource or timing tradeoff.</t>
  </si>
  <si>
    <t>6 · FIRM-LEVEL RISK &amp; COMPLIANCE</t>
  </si>
  <si>
    <t>5 · FIRM-LEVEL REPORTING &amp; KPIs</t>
  </si>
  <si>
    <t>KPI / view</t>
  </si>
  <si>
    <t>Source tab</t>
  </si>
  <si>
    <t>Owner to produce</t>
  </si>
  <si>
    <t>Funnel: leads, Ready for DD, open tasks, blocked</t>
  </si>
  <si>
    <t>Partner / Associate</t>
  </si>
  <si>
    <t>Capital in flight by track (VC/M&amp;A/RE)</t>
  </si>
  <si>
    <t>Command Center + allocation table</t>
  </si>
  <si>
    <t>Conversion: Advanced to DD / Pass; RE purchased rate</t>
  </si>
  <si>
    <t>Command Center closed logs</t>
  </si>
  <si>
    <t>Portfolio health distribution + At Risk list</t>
  </si>
  <si>
    <t>Portfolio Active · RE Portfolio</t>
  </si>
  <si>
    <t>Shared Services SLA breach count</t>
  </si>
  <si>
    <t>Service owners</t>
  </si>
  <si>
    <t>Cash at firm + subsidiary runway flags</t>
  </si>
  <si>
    <t>Team capacity vs open Critical work</t>
  </si>
  <si>
    <t>COO / Partners</t>
  </si>
  <si>
    <t>4. COO of Subsidiaries owns subsidiary performance; Visionary owns firm direction and capital allocation.</t>
  </si>
  <si>
    <t>6 · KNOWLEDGE MANAGEMENT &amp; INTERNAL PROCESSES</t>
  </si>
  <si>
    <t>Artifact</t>
  </si>
  <si>
    <t>This workbook (OS)</t>
  </si>
  <si>
    <t>Pipelines, libraries, scorecards, ops models</t>
  </si>
  <si>
    <t>Live</t>
  </si>
  <si>
    <t>One-page wall chart — three layers</t>
  </si>
  <si>
    <t>When process changes</t>
  </si>
  <si>
    <t>Playbooks folder</t>
  </si>
  <si>
    <t>Subsidiary + firm SOPs; IC memo template</t>
  </si>
  <si>
    <t>COO / Ops</t>
  </si>
  <si>
    <t>Quarterly review</t>
  </si>
  <si>
    <t>Lessons learned log</t>
  </si>
  <si>
    <t>Pass reasons, failed deals, integration misses</t>
  </si>
  <si>
    <t>After each close/walk</t>
  </si>
  <si>
    <t>Deal / property archives</t>
  </si>
  <si>
    <t>Data rooms, executed docs, models</t>
  </si>
  <si>
    <t>Counsel + Associate</t>
  </si>
  <si>
    <t>At close</t>
  </si>
  <si>
    <t>Standards</t>
  </si>
  <si>
    <t>Canonical names; enums; archive≠delete; blue inputs</t>
  </si>
  <si>
    <t>Always</t>
  </si>
  <si>
    <t>7 · FIRM RISK, COMPLIANCE &amp; GOVERNANCE CALENDAR</t>
  </si>
  <si>
    <t>Month / trigger</t>
  </si>
  <si>
    <t>Last done</t>
  </si>
  <si>
    <t>Next due</t>
  </si>
  <si>
    <t>Entity annual report / franchise tax</t>
  </si>
  <si>
    <t>Counsel / Finance</t>
  </si>
  <si>
    <t>Per jurisdiction</t>
  </si>
  <si>
    <t>Federal / state tax filings (firm)</t>
  </si>
  <si>
    <t>Annual / quarterly</t>
  </si>
  <si>
    <t>Tax calendar</t>
  </si>
  <si>
    <t>Insurance renewals (D&amp;O, E&amp;O, cyber, property)</t>
  </si>
  <si>
    <t>Ops / Finance</t>
  </si>
  <si>
    <t>Renewal month</t>
  </si>
  <si>
    <t>Firm risk register review</t>
  </si>
  <si>
    <t>Annual + ad hoc</t>
  </si>
  <si>
    <t>Q4 or after major event</t>
  </si>
  <si>
    <t>Key person / succession plan update</t>
  </si>
  <si>
    <t>Cybersecurity / access review</t>
  </si>
  <si>
    <t>H1 / H2</t>
  </si>
  <si>
    <t>Subsidiary audit cycle kickoff</t>
  </si>
  <si>
    <t>Annual per co</t>
  </si>
  <si>
    <t>Per Portfolio Active anniversary</t>
  </si>
  <si>
    <t>Capital allocation reset</t>
  </si>
  <si>
    <t>Each quarter start</t>
  </si>
  <si>
    <t>8 · GOLDEN RULES</t>
  </si>
  <si>
    <t>1. Deal flow ≠ portfolio ops ≠ firm ops — three layers, clear owners.</t>
  </si>
  <si>
    <t>2. Shared Services serve firm and subsidiaries; COO stack-ranks; Visionary breaks ties.</t>
  </si>
  <si>
    <t>3. Capital allocation is firm-level with VC / M&amp;A / RE visibility via Command Center.</t>
  </si>
  <si>
    <t>4. COO owns subsidiary performance system; Visionary owns direction and capital.</t>
  </si>
  <si>
    <t>5. No capital deploy without docs matching the threshold band.</t>
  </si>
  <si>
    <t>Deal Flow: How We Run · Process Map · Command Center · all pipelines</t>
  </si>
  <si>
    <t>Subsidiaries: Subsidiary Operating System · Portfolio Handoff · Portfolio Active · RE Portfolio</t>
  </si>
  <si>
    <t>Build: Data Dictionary · Platform Spec · Cursor Brief</t>
  </si>
  <si>
    <t>9 · TREASURY &amp; CASH CONTROLS (FIRM)</t>
  </si>
  <si>
    <t>Automation / QBE</t>
  </si>
  <si>
    <t>Firm cash flash vs commitments</t>
  </si>
  <si>
    <t>Bank feeds + cash report</t>
  </si>
  <si>
    <t>Deploy schedule (approved deals not yet wired)</t>
  </si>
  <si>
    <t>Partner + Finance</t>
  </si>
  <si>
    <t>Deal Active / M&amp;A / RE check sizes</t>
  </si>
  <si>
    <t>Intercompany / parent support tracking</t>
  </si>
  <si>
    <t>QBE classes / JE policy</t>
  </si>
  <si>
    <t>Bank signatory &amp; dual-control test</t>
  </si>
  <si>
    <t>Finance + Visionary</t>
  </si>
  <si>
    <t>Bank portal review</t>
  </si>
  <si>
    <t>LINKS (updated): Shared Services Operating Model · Annual Audit Master Checklist · Command Center · Subsidiary Operating System · How We Run</t>
  </si>
  <si>
    <t>Document Management &amp; DocuSign Workflow</t>
  </si>
  <si>
    <t>Central library structure + when docs fire in process + merge fields + DocuSign return path. Portal implements; workbook is the spec.</t>
  </si>
  <si>
    <t>1 · LIBRARY STRUCTURE (by entity_id)</t>
  </si>
  <si>
    <t>Path pattern</t>
  </si>
  <si>
    <t>Contents</t>
  </si>
  <si>
    <t>Access</t>
  </si>
  <si>
    <t>/Firm/Corporate</t>
  </si>
  <si>
    <t>Formation, policies, insurance, tax</t>
  </si>
  <si>
    <t>Visionary, Counsel, Finance</t>
  </si>
  <si>
    <t>/Firm/IC_Memos</t>
  </si>
  <si>
    <t>IC packages by date</t>
  </si>
  <si>
    <t>/Entities/{entity_id}/01_Corporate</t>
  </si>
  <si>
    <t>Charter, cap table, good standing</t>
  </si>
  <si>
    <t>Counsel, Partner, COO</t>
  </si>
  <si>
    <t>/Entities/{entity_id}/02_Deal</t>
  </si>
  <si>
    <t>TS/SPA/SAFE, side letters, wire</t>
  </si>
  <si>
    <t>Counsel, Partner</t>
  </si>
  <si>
    <t>/Entities/{entity_id}/03_DD</t>
  </si>
  <si>
    <t>Data room exports, QoE, reports</t>
  </si>
  <si>
    <t>Deal team</t>
  </si>
  <si>
    <t>/Entities/{entity_id}/04_Financials</t>
  </si>
  <si>
    <t>Monthly packs, audits, models</t>
  </si>
  <si>
    <t>Finance, COO, Partner</t>
  </si>
  <si>
    <t>/Entities/{entity_id}/05_HR</t>
  </si>
  <si>
    <t>Key employment (restricted)</t>
  </si>
  <si>
    <t>HR, Counsel</t>
  </si>
  <si>
    <t>/Entities/{entity_id}/06_Ops</t>
  </si>
  <si>
    <t>Playbooks, GTM maps, board decks</t>
  </si>
  <si>
    <t>COO, Sub Lead</t>
  </si>
  <si>
    <t>/Entities/{entity_id}/07_Signed</t>
  </si>
  <si>
    <t>DocuSign completed + certificates</t>
  </si>
  <si>
    <t>Counsel, system</t>
  </si>
  <si>
    <t>/Templates/</t>
  </si>
  <si>
    <t>NDA, offer, TS, SPA riders, LOI</t>
  </si>
  <si>
    <t>Counsel edit; all read</t>
  </si>
  <si>
    <t>2 · PROCESS EMBEDDING (when docs attach)</t>
  </si>
  <si>
    <t>Process step</t>
  </si>
  <si>
    <t>Document(s)</t>
  </si>
  <si>
    <t>Store to</t>
  </si>
  <si>
    <t>Task link</t>
  </si>
  <si>
    <t>VC First Call / NDA</t>
  </si>
  <si>
    <t>Mutual NDA</t>
  </si>
  <si>
    <t>Stage ≥ First Call</t>
  </si>
  <si>
    <t>…/02_Deal or pre-ENT holding</t>
  </si>
  <si>
    <t>Lead Tasks</t>
  </si>
  <si>
    <t>VC Term Sheet</t>
  </si>
  <si>
    <t>Term sheet PDF</t>
  </si>
  <si>
    <t>Deal stage Term Sheet</t>
  </si>
  <si>
    <t>…/02_Deal</t>
  </si>
  <si>
    <t>Deal Tasks</t>
  </si>
  <si>
    <t>VC / M&amp;A Close</t>
  </si>
  <si>
    <t>SPA/APA/SAFE, IRA, consents</t>
  </si>
  <si>
    <t>…/07_Signed + 02_Deal</t>
  </si>
  <si>
    <t>Deal/M&amp;A Tasks</t>
  </si>
  <si>
    <t>RE PSA</t>
  </si>
  <si>
    <t>Purchase agreement, addenda</t>
  </si>
  <si>
    <t>LOI/PSA stage</t>
  </si>
  <si>
    <t>RE Tasks</t>
  </si>
  <si>
    <t>Handoff pack PDF export</t>
  </si>
  <si>
    <t>Wire complete</t>
  </si>
  <si>
    <t>…/06_Ops</t>
  </si>
  <si>
    <t>Employment offer</t>
  </si>
  <si>
    <t>Offer letter + PIIA</t>
  </si>
  <si>
    <t>HR hire approved</t>
  </si>
  <si>
    <t>…/05_HR</t>
  </si>
  <si>
    <t>HR ticket</t>
  </si>
  <si>
    <t>Vendor / SOW</t>
  </si>
  <si>
    <t>MSA/SOW from template</t>
  </si>
  <si>
    <t>Legal ticket</t>
  </si>
  <si>
    <t>…/02_Deal or Ops</t>
  </si>
  <si>
    <t>3 · MERGE FIELDS (auto-populate from DB)</t>
  </si>
  <si>
    <t>Field token</t>
  </si>
  <si>
    <t>Example</t>
  </si>
  <si>
    <t>{{entity.canonical_name}}</t>
  </si>
  <si>
    <t>{{entity.legal_name}}</t>
  </si>
  <si>
    <t>{{deal.check_size}}</t>
  </si>
  <si>
    <t>Deal Active</t>
  </si>
  <si>
    <t>{{deal.pre_money}}</t>
  </si>
  <si>
    <t>Deal Active / Financial Model</t>
  </si>
  <si>
    <t>{{deal.instrument}}</t>
  </si>
  <si>
    <t>{{party.signatory_name}}</t>
  </si>
  <si>
    <t>Contacts table</t>
  </si>
  <si>
    <t>Jane Founder</t>
  </si>
  <si>
    <t>{{party.signatory_email}}</t>
  </si>
  <si>
    <t>Contacts</t>
  </si>
  <si>
    <t>jane@co.com</t>
  </si>
  <si>
    <t>{{firm.legal_name}}</t>
  </si>
  <si>
    <t>{{effective_date}}</t>
  </si>
  <si>
    <t>Workflow runtime</t>
  </si>
  <si>
    <t>{{address}} / {{property}}</t>
  </si>
  <si>
    <t>RE Pipeline</t>
  </si>
  <si>
    <t>1842 Maple St</t>
  </si>
  <si>
    <t>4 · DOCUSIGN FLOW</t>
  </si>
  <si>
    <t>System action</t>
  </si>
  <si>
    <t>Human gate</t>
  </si>
  <si>
    <t>1. Select template</t>
  </si>
  <si>
    <t>Load from /Templates + process step</t>
  </si>
  <si>
    <t>Counsel/Partner picks template</t>
  </si>
  <si>
    <t>Draft envelope</t>
  </si>
  <si>
    <t>2. Merge fields</t>
  </si>
  <si>
    <t>Pull entity/deal/contact tokens</t>
  </si>
  <si>
    <t>User confirms field map</t>
  </si>
  <si>
    <t>Populated PDF/DOCX</t>
  </si>
  <si>
    <t>3. Route signers</t>
  </si>
  <si>
    <t>Build routing order from roles</t>
  </si>
  <si>
    <t>Confirm emails/order</t>
  </si>
  <si>
    <t>Envelope definition</t>
  </si>
  <si>
    <t>4. Send DocuSign</t>
  </si>
  <si>
    <t>API create+send envelope</t>
  </si>
  <si>
    <t>Click Send (never silent send on capital docs)</t>
  </si>
  <si>
    <t>envelope_id stored on task</t>
  </si>
  <si>
    <t>5. Track status</t>
  </si>
  <si>
    <t>Webhook: sent/delivered/signed/declined</t>
  </si>
  <si>
    <t>Chase if stale &gt;SLA</t>
  </si>
  <si>
    <t>Task status update</t>
  </si>
  <si>
    <t>6. Complete</t>
  </si>
  <si>
    <t>Download PDF + certificate; hash store</t>
  </si>
  <si>
    <t>Counsel verifies package</t>
  </si>
  <si>
    <t>/07_Signed + audit_trail row</t>
  </si>
  <si>
    <t>7. Post-process</t>
  </si>
  <si>
    <t>Mark task Complete; notify next step</t>
  </si>
  <si>
    <t>Owner advances stage if allowed</t>
  </si>
  <si>
    <t>Pipeline/Deal stage optional bump</t>
  </si>
  <si>
    <t>5 · DOCUMENT RECORD (portal table docs)</t>
  </si>
  <si>
    <t>doc_id | entity_id | deal_or_task_id | doc_type | template_id | status | envelope_id | storage_uri | signed_at | created_by</t>
  </si>
  <si>
    <t>Automation: template merge High · send requires human on TS/SPA/wire docs · storage High · stage auto-advance Low (confirm).</t>
  </si>
  <si>
    <t>LINKS: Entity Master · Deal/M&amp;A/RE Tasks · Portfolio Handoff · Shared Services Legal · Data Dictionary · Cursor Brief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</si>
</sst>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yyyy\-mm\-dd"/>
    <numFmt numFmtId="165" formatCode="0.0"/>
    <numFmt numFmtId="166" formatCode="0.0%"/>
    <numFmt numFmtId="167" formatCode="&quot;$&quot;#,##0"/>
    <numFmt numFmtId="168" formatCode="0.0&quot;x&quot;"/>
    <numFmt numFmtId="169" formatCode="0.00&quot;x&quot;"/>
    <numFmt numFmtId="170" formatCode="#,##0.0"/>
  </numFmts>
  <fonts count="61">
    <font>
      <sz val="11"/>
      <color theme="1"/>
      <name val="Calibri"/>
      <family val="2"/>
      <scheme val="minor"/>
    </font>
    <font>
      <sz val="11"/>
      <color rgb="FFFFFFFF"/>
      <name val="Calibri"/>
      <family val="2"/>
      <scheme val="minor"/>
    </font>
    <font>
      <b/>
      <sz val="16"/>
      <color rgb="FFFFFFFF"/>
      <name val="Calibri"/>
      <family val="2"/>
      <scheme val="minor"/>
    </font>
    <font>
      <i/>
      <sz val="10"/>
      <color rgb="FF666666"/>
      <name val="Calibri"/>
      <family val="2"/>
      <scheme val="minor"/>
    </font>
    <font>
      <b/>
      <sz val="12"/>
      <color theme="1"/>
      <name val="Calibri"/>
      <family val="2"/>
      <scheme val="minor"/>
    </font>
    <font>
      <b/>
      <sz val="11"/>
      <color theme="1"/>
      <name val="Calibri"/>
      <family val="2"/>
      <scheme val="minor"/>
    </font>
    <font>
      <b/>
      <sz val="11"/>
      <color rgb="FFFFFFFF"/>
      <name val="Calibri"/>
      <family val="2"/>
      <scheme val="minor"/>
    </font>
    <font>
      <sz val="11"/>
      <color rgb="FF0000FF"/>
      <name val="Calibri"/>
      <family val="2"/>
      <scheme val="minor"/>
    </font>
    <font>
      <b/>
      <sz val="12"/>
      <color rgb="FF2F5496"/>
      <name val="Calibri"/>
      <family val="2"/>
      <scheme val="minor"/>
    </font>
    <font>
      <b/>
      <sz val="12"/>
      <color rgb="FF1F4E79"/>
      <name val="Calibri"/>
      <family val="2"/>
      <scheme val="minor"/>
    </font>
    <font>
      <b/>
      <sz val="12"/>
      <color rgb="FF7030A0"/>
      <name val="Calibri"/>
      <family val="2"/>
      <scheme val="minor"/>
    </font>
    <font>
      <b/>
      <sz val="18"/>
      <color rgb="FFFFFFFF"/>
      <name val="Calibri"/>
      <family val="2"/>
      <scheme val="minor"/>
    </font>
    <font>
      <b/>
      <sz val="14"/>
      <color rgb="FF333333"/>
      <name val="Calibri"/>
      <family val="2"/>
      <scheme val="minor"/>
    </font>
    <font>
      <b/>
      <sz val="14"/>
      <color theme="1"/>
      <name val="Calibri"/>
      <family val="2"/>
      <scheme val="minor"/>
    </font>
    <font>
      <b/>
      <sz val="14"/>
      <color rgb="FF9C0006"/>
      <name val="Calibri"/>
      <family val="2"/>
      <scheme val="minor"/>
    </font>
    <font>
      <b/>
      <sz val="12"/>
      <color rgb="FF9C0006"/>
      <name val="Calibri"/>
      <family val="2"/>
      <scheme val="minor"/>
    </font>
    <font>
      <b/>
      <sz val="18"/>
      <color rgb="FFECE9E6"/>
      <name val="Calibri"/>
      <family val="2"/>
      <scheme val="minor"/>
    </font>
    <font>
      <i/>
      <sz val="11"/>
      <color rgb="FF5B5E65"/>
      <name val="Calibri"/>
      <family val="2"/>
      <scheme val="minor"/>
    </font>
    <font>
      <b/>
      <sz val="11"/>
      <color rgb="FFECE9E6"/>
      <name val="Calibri"/>
      <family val="2"/>
      <scheme val="minor"/>
    </font>
    <font>
      <sz val="11"/>
      <color rgb="FF3A414F"/>
      <name val="Calibri"/>
      <family val="2"/>
      <scheme val="minor"/>
    </font>
    <font>
      <b/>
      <sz val="12"/>
      <color rgb="FF3A414F"/>
      <name val="Calibri"/>
      <family val="2"/>
      <scheme val="minor"/>
    </font>
    <font>
      <b/>
      <sz val="11"/>
      <color rgb="FF3A414F"/>
      <name val="Calibri"/>
      <family val="2"/>
      <scheme val="minor"/>
    </font>
    <font>
      <b/>
      <sz val="16"/>
      <color rgb="FFECE9E6"/>
      <name val="Calibri"/>
      <family val="2"/>
      <scheme val="minor"/>
    </font>
    <font>
      <i/>
      <sz val="10"/>
      <color rgb="FF5B5E65"/>
      <name val="Calibri"/>
      <family val="2"/>
      <scheme val="minor"/>
    </font>
    <font>
      <b/>
      <sz val="12"/>
      <color rgb="FFECE9E6"/>
      <name val="Calibri"/>
      <family val="2"/>
      <scheme val="minor"/>
    </font>
    <font>
      <b/>
      <sz val="12"/>
      <color rgb="FFFFFFFF"/>
      <name val="Calibri"/>
      <family val="2"/>
      <scheme val="minor"/>
    </font>
    <font>
      <b/>
      <sz val="11"/>
      <color rgb="FF9B1C1C"/>
      <name val="Calibri"/>
      <family val="2"/>
      <scheme val="minor"/>
    </font>
    <font>
      <b/>
      <sz val="11"/>
      <color rgb="FF4A5568"/>
      <name val="Calibri"/>
      <family val="2"/>
      <scheme val="minor"/>
    </font>
    <font>
      <b/>
      <sz val="20"/>
      <color rgb="FFECE9E6"/>
      <name val="Calibri"/>
      <family val="2"/>
      <scheme val="minor"/>
    </font>
    <font>
      <b/>
      <sz val="11"/>
      <color rgb="FF6B5B4F"/>
      <name val="Calibri"/>
      <family val="2"/>
      <scheme val="minor"/>
    </font>
    <font>
      <b/>
      <sz val="20"/>
      <color rgb="FFFFFFFF"/>
      <name val="Calibri"/>
      <family val="2"/>
      <scheme val="minor"/>
    </font>
    <font>
      <sz val="11"/>
      <color rgb="FFECE9E6"/>
      <name val="Calibri"/>
      <family val="2"/>
      <scheme val="minor"/>
    </font>
    <font>
      <b/>
      <sz val="12"/>
      <color rgb="FF0000FF"/>
      <name val="Calibri"/>
      <family val="2"/>
      <scheme val="minor"/>
    </font>
    <font>
      <b/>
      <sz val="11"/>
      <color rgb="FF0000FF"/>
      <name val="Calibri"/>
      <family val="2"/>
      <scheme val="minor"/>
    </font>
    <font>
      <sz val="10"/>
      <color theme="1"/>
      <name val="Calibri"/>
      <family val="2"/>
      <scheme val="minor"/>
    </font>
    <font>
      <i/>
      <sz val="10"/>
      <color theme="1"/>
      <name val="Calibri"/>
      <family val="2"/>
      <scheme val="minor"/>
    </font>
    <font>
      <b/>
      <sz val="10"/>
      <color rgb="FFFFFFFF"/>
      <name val="Calibri"/>
      <family val="2"/>
      <scheme val="minor"/>
    </font>
    <font>
      <b/>
      <i/>
      <sz val="10"/>
      <color rgb="FFFFFFFF"/>
      <name val="Calibri"/>
      <family val="2"/>
      <scheme val="minor"/>
    </font>
    <font>
      <sz val="12"/>
      <color rgb="FF000000"/>
      <name val="Calibri"/>
      <family val="2"/>
      <scheme val="minor"/>
    </font>
    <font>
      <sz val="11"/>
      <color rgb="FF000000"/>
      <name val="Calibri"/>
      <family val="2"/>
      <scheme val="minor"/>
    </font>
    <font>
      <sz val="10"/>
      <color rgb="FF000000"/>
      <name val="Calibri"/>
      <family val="2"/>
      <scheme val="minor"/>
    </font>
    <font>
      <b/>
      <sz val="10"/>
      <color theme="1"/>
      <name val="Calibri"/>
      <family val="2"/>
      <scheme val="minor"/>
    </font>
    <font>
      <i/>
      <sz val="10"/>
      <color rgb="FF7C7871"/>
      <name val="Calibri"/>
      <family val="2"/>
      <scheme val="minor"/>
    </font>
    <font>
      <sz val="11"/>
      <color rgb="FF7C7871"/>
      <name val="Calibri"/>
      <family val="2"/>
      <scheme val="minor"/>
    </font>
    <font>
      <sz val="11"/>
      <color rgb="FF333333"/>
      <name val="Calibri"/>
      <family val="2"/>
      <scheme val="minor"/>
    </font>
    <font>
      <i/>
      <sz val="11"/>
      <color rgb="FF333333"/>
      <name val="Calibri"/>
      <family val="2"/>
      <scheme val="minor"/>
    </font>
    <font>
      <b/>
      <i/>
      <sz val="12"/>
      <color rgb="FFFFFFFF"/>
      <name val="Calibri"/>
      <family val="2"/>
      <scheme val="minor"/>
    </font>
    <font>
      <b/>
      <sz val="11"/>
      <color rgb="FF000000"/>
      <name val="Calibri"/>
      <family val="2"/>
      <scheme val="minor"/>
    </font>
    <font>
      <b/>
      <sz val="11"/>
      <color rgb="FF333333"/>
      <name val="Calibri"/>
      <family val="2"/>
      <scheme val="minor"/>
    </font>
    <font>
      <b/>
      <sz val="10"/>
      <color rgb="FF333333"/>
      <name val="Calibri"/>
      <family val="2"/>
      <scheme val="minor"/>
    </font>
    <font>
      <b/>
      <i/>
      <sz val="10"/>
      <color rgb="FF7C7871"/>
      <name val="Calibri"/>
      <family val="2"/>
      <scheme val="minor"/>
    </font>
    <font>
      <sz val="12"/>
      <color rgb="FF333333"/>
      <name val="Calibri"/>
      <family val="2"/>
      <scheme val="minor"/>
    </font>
    <font>
      <i/>
      <sz val="10"/>
      <color rgb="FF333333"/>
      <name val="Calibri"/>
      <family val="2"/>
      <scheme val="minor"/>
    </font>
    <font>
      <sz val="10"/>
      <color rgb="FF333333"/>
      <name val="Calibri"/>
      <family val="2"/>
      <scheme val="minor"/>
    </font>
    <font>
      <sz val="10"/>
      <color rgb="FF3A414F"/>
      <name val="Calibri"/>
      <family val="2"/>
      <scheme val="minor"/>
    </font>
    <font>
      <b/>
      <sz val="10"/>
      <color rgb="FF3A414F"/>
      <name val="Calibri"/>
      <family val="2"/>
      <scheme val="minor"/>
    </font>
    <font>
      <b/>
      <i/>
      <sz val="10"/>
      <color rgb="FF9B1C1C"/>
      <name val="Calibri"/>
      <family val="2"/>
      <scheme val="minor"/>
    </font>
    <font>
      <b/>
      <sz val="14"/>
      <color rgb="FFECE9E6"/>
      <name val="Calibri"/>
      <family val="2"/>
      <scheme val="minor"/>
    </font>
    <font>
      <b/>
      <sz val="14"/>
      <color rgb="FFFFFFFF"/>
      <name val="Calibri"/>
      <family val="2"/>
      <scheme val="minor"/>
    </font>
    <font>
      <b/>
      <i/>
      <sz val="11"/>
      <color rgb="FFFFFFFF"/>
      <name val="Calibri"/>
      <family val="2"/>
      <scheme val="minor"/>
    </font>
    <font>
      <i/>
      <sz val="9"/>
      <color rgb="FF7C7871"/>
      <name val="Calibri"/>
      <family val="2"/>
      <scheme val="minor"/>
    </font>
  </fonts>
  <fills count="24">
    <fill>
      <patternFill patternType="none"/>
    </fill>
    <fill>
      <patternFill patternType="gray125"/>
    </fill>
    <fill>
      <patternFill patternType="solid">
        <fgColor rgb="FF2F5496"/>
        <bgColor indexed="64"/>
      </patternFill>
    </fill>
    <fill>
      <patternFill patternType="solid">
        <fgColor rgb="FFE6F0FA"/>
        <bgColor indexed="64"/>
      </patternFill>
    </fill>
    <fill>
      <patternFill patternType="solid">
        <fgColor rgb="FF548235"/>
        <bgColor indexed="64"/>
      </patternFill>
    </fill>
    <fill>
      <patternFill patternType="solid">
        <fgColor rgb="FF1F4E79"/>
        <bgColor indexed="64"/>
      </patternFill>
    </fill>
    <fill>
      <patternFill patternType="solid">
        <fgColor rgb="FF7030A0"/>
        <bgColor indexed="64"/>
      </patternFill>
    </fill>
    <fill>
      <patternFill patternType="solid">
        <fgColor rgb="FF333333"/>
        <bgColor indexed="64"/>
      </patternFill>
    </fill>
    <fill>
      <patternFill patternType="solid">
        <fgColor rgb="FFD6DCE4"/>
        <bgColor indexed="64"/>
      </patternFill>
    </fill>
    <fill>
      <patternFill patternType="solid">
        <fgColor rgb="FF3A414F"/>
        <bgColor indexed="64"/>
      </patternFill>
    </fill>
    <fill>
      <patternFill patternType="solid">
        <fgColor rgb="FF7C7871"/>
        <bgColor indexed="64"/>
      </patternFill>
    </fill>
    <fill>
      <patternFill patternType="solid">
        <fgColor rgb="FF9F957C"/>
        <bgColor indexed="64"/>
      </patternFill>
    </fill>
    <fill>
      <patternFill patternType="solid">
        <fgColor rgb="FF535C63"/>
        <bgColor indexed="64"/>
      </patternFill>
    </fill>
    <fill>
      <patternFill patternType="solid">
        <fgColor rgb="FFECE9E6"/>
        <bgColor indexed="64"/>
      </patternFill>
    </fill>
    <fill>
      <patternFill patternType="solid">
        <fgColor rgb="FFD7D3C3"/>
        <bgColor indexed="64"/>
      </patternFill>
    </fill>
    <fill>
      <patternFill patternType="solid">
        <fgColor rgb="FF6C7470"/>
        <bgColor indexed="64"/>
      </patternFill>
    </fill>
    <fill>
      <patternFill patternType="solid">
        <fgColor rgb="FFBE123C"/>
        <bgColor indexed="64"/>
      </patternFill>
    </fill>
    <fill>
      <patternFill patternType="solid">
        <fgColor rgb="FF4A5568"/>
        <bgColor indexed="64"/>
      </patternFill>
    </fill>
    <fill>
      <patternFill patternType="solid">
        <fgColor rgb="FF6B5B4F"/>
        <bgColor indexed="64"/>
      </patternFill>
    </fill>
    <fill>
      <patternFill patternType="solid">
        <fgColor rgb="FFFFF2CC"/>
        <bgColor indexed="64"/>
      </patternFill>
    </fill>
    <fill>
      <patternFill patternType="solid">
        <fgColor rgb="FFC65911"/>
        <bgColor indexed="64"/>
      </patternFill>
    </fill>
    <fill>
      <patternFill patternType="solid">
        <fgColor rgb="FFC00000"/>
        <bgColor indexed="64"/>
      </patternFill>
    </fill>
    <fill>
      <patternFill patternType="solid">
        <fgColor rgb="FFF7F5F2"/>
        <bgColor indexed="64"/>
      </patternFill>
    </fill>
    <fill>
      <patternFill patternType="solid">
        <fgColor rgb="FFFCE4D6"/>
        <bgColor indexed="64"/>
      </patternFill>
    </fill>
  </fills>
  <borders count="1">
    <border>
      <left/>
      <right/>
      <top/>
      <bottom/>
      <diagonal/>
    </border>
  </borders>
  <cellStyleXfs count="1">
    <xf numFmtId="0" fontId="0" fillId="0" borderId="0"/>
  </cellStyleXfs>
  <cellXfs count="244">
    <xf numFmtId="0" fontId="0" fillId="0" borderId="0" xfId="0"/>
    <xf numFmtId="0" fontId="4" fillId="0" borderId="0" xfId="0" applyFont="1"/>
    <xf numFmtId="0" fontId="5" fillId="0" borderId="0" xfId="0" applyFont="1"/>
    <xf numFmtId="0" fontId="7" fillId="3" borderId="0" xfId="0" applyFont="1" applyFill="1"/>
    <xf numFmtId="164" fontId="7" fillId="3" borderId="0" xfId="0" applyNumberFormat="1" applyFont="1" applyFill="1"/>
    <xf numFmtId="0" fontId="6" fillId="4" borderId="0" xfId="0" applyFont="1" applyFill="1" applyAlignment="1">
      <alignment horizontal="center"/>
    </xf>
    <xf numFmtId="0" fontId="0" fillId="0" borderId="0" xfId="0" applyAlignment="1">
      <alignment wrapText="1"/>
    </xf>
    <xf numFmtId="0" fontId="8" fillId="0" borderId="0" xfId="0" applyFont="1"/>
    <xf numFmtId="0" fontId="8" fillId="0" borderId="0" xfId="0" applyFont="1" applyAlignment="1">
      <alignment wrapText="1"/>
    </xf>
    <xf numFmtId="3" fontId="7" fillId="3" borderId="0" xfId="0" applyNumberFormat="1" applyFont="1" applyFill="1"/>
    <xf numFmtId="0" fontId="9" fillId="0" borderId="0" xfId="0" applyFont="1"/>
    <xf numFmtId="0" fontId="9" fillId="0" borderId="0" xfId="0" applyFont="1" applyAlignment="1">
      <alignment wrapText="1"/>
    </xf>
    <xf numFmtId="165" fontId="7" fillId="3" borderId="0" xfId="0" applyNumberFormat="1" applyFont="1" applyFill="1"/>
    <xf numFmtId="166" fontId="7" fillId="3" borderId="0" xfId="0" applyNumberFormat="1" applyFont="1" applyFill="1"/>
    <xf numFmtId="0" fontId="10" fillId="0" borderId="0" xfId="0" applyFont="1"/>
    <xf numFmtId="0" fontId="6" fillId="7" borderId="0" xfId="0" applyFont="1" applyFill="1"/>
    <xf numFmtId="0" fontId="6" fillId="7" borderId="0" xfId="0" applyFont="1" applyFill="1" applyAlignment="1">
      <alignment horizontal="center"/>
    </xf>
    <xf numFmtId="0" fontId="12" fillId="0" borderId="0" xfId="0" applyFont="1"/>
    <xf numFmtId="0" fontId="0" fillId="8" borderId="0" xfId="0" applyFill="1"/>
    <xf numFmtId="0" fontId="13" fillId="0" borderId="0" xfId="0" applyFont="1"/>
    <xf numFmtId="0" fontId="14" fillId="0" borderId="0" xfId="0" applyFont="1"/>
    <xf numFmtId="0" fontId="10" fillId="0" borderId="0" xfId="0" applyFont="1" applyAlignment="1">
      <alignment wrapText="1"/>
    </xf>
    <xf numFmtId="0" fontId="6" fillId="10" borderId="0" xfId="0" applyFont="1" applyFill="1"/>
    <xf numFmtId="0" fontId="18" fillId="9" borderId="0" xfId="0" applyFont="1" applyFill="1" applyAlignment="1">
      <alignment wrapText="1"/>
    </xf>
    <xf numFmtId="0" fontId="6" fillId="11" borderId="0" xfId="0" applyFont="1" applyFill="1" applyAlignment="1">
      <alignment wrapText="1"/>
    </xf>
    <xf numFmtId="0" fontId="6" fillId="12" borderId="0" xfId="0" applyFont="1" applyFill="1" applyAlignment="1">
      <alignment wrapText="1"/>
    </xf>
    <xf numFmtId="0" fontId="20" fillId="0" borderId="0" xfId="0" applyFont="1"/>
    <xf numFmtId="0" fontId="18" fillId="9" borderId="0" xfId="0" applyFont="1" applyFill="1"/>
    <xf numFmtId="0" fontId="6" fillId="11" borderId="0" xfId="0" applyFont="1" applyFill="1"/>
    <xf numFmtId="0" fontId="6" fillId="12" borderId="0" xfId="0" applyFont="1" applyFill="1"/>
    <xf numFmtId="0" fontId="21" fillId="13" borderId="0" xfId="0" applyFont="1" applyFill="1"/>
    <xf numFmtId="0" fontId="21" fillId="14" borderId="0" xfId="0" applyFont="1" applyFill="1"/>
    <xf numFmtId="0" fontId="19" fillId="14" borderId="0" xfId="0" applyFont="1" applyFill="1"/>
    <xf numFmtId="0" fontId="1" fillId="11" borderId="0" xfId="0" applyFont="1" applyFill="1"/>
    <xf numFmtId="0" fontId="1" fillId="12" borderId="0" xfId="0" applyFont="1" applyFill="1"/>
    <xf numFmtId="0" fontId="6" fillId="9" borderId="0" xfId="0" applyFont="1" applyFill="1" applyAlignment="1">
      <alignment horizontal="center"/>
    </xf>
    <xf numFmtId="0" fontId="6" fillId="11" borderId="0" xfId="0" applyFont="1" applyFill="1" applyAlignment="1">
      <alignment horizontal="center"/>
    </xf>
    <xf numFmtId="0" fontId="6" fillId="12" borderId="0" xfId="0" applyFont="1" applyFill="1" applyAlignment="1">
      <alignment horizontal="center"/>
    </xf>
    <xf numFmtId="0" fontId="23" fillId="0" borderId="0" xfId="0" applyFont="1"/>
    <xf numFmtId="0" fontId="24" fillId="9" borderId="0" xfId="0" applyFont="1" applyFill="1"/>
    <xf numFmtId="166" fontId="0" fillId="0" borderId="0" xfId="0" applyNumberFormat="1"/>
    <xf numFmtId="3" fontId="0" fillId="0" borderId="0" xfId="0" applyNumberFormat="1"/>
    <xf numFmtId="165" fontId="0" fillId="0" borderId="0" xfId="0" applyNumberFormat="1"/>
    <xf numFmtId="167" fontId="7" fillId="3" borderId="0" xfId="0" applyNumberFormat="1" applyFont="1" applyFill="1"/>
    <xf numFmtId="168" fontId="0" fillId="0" borderId="0" xfId="0" applyNumberFormat="1"/>
    <xf numFmtId="1" fontId="7" fillId="3" borderId="0" xfId="0" applyNumberFormat="1" applyFont="1" applyFill="1"/>
    <xf numFmtId="9" fontId="0" fillId="0" borderId="0" xfId="0" applyNumberFormat="1"/>
    <xf numFmtId="9" fontId="7" fillId="3" borderId="0" xfId="0" applyNumberFormat="1" applyFont="1" applyFill="1"/>
    <xf numFmtId="168" fontId="7" fillId="3" borderId="0" xfId="0" applyNumberFormat="1" applyFont="1" applyFill="1"/>
    <xf numFmtId="2" fontId="0" fillId="0" borderId="0" xfId="0" applyNumberFormat="1"/>
    <xf numFmtId="169" fontId="0" fillId="0" borderId="0" xfId="0" applyNumberFormat="1"/>
    <xf numFmtId="9" fontId="5" fillId="0" borderId="0" xfId="0" applyNumberFormat="1" applyFont="1"/>
    <xf numFmtId="2" fontId="5" fillId="0" borderId="0" xfId="0" applyNumberFormat="1" applyFont="1"/>
    <xf numFmtId="0" fontId="6" fillId="15" borderId="0" xfId="0" applyFont="1" applyFill="1" applyAlignment="1">
      <alignment horizontal="center"/>
    </xf>
    <xf numFmtId="0" fontId="21" fillId="0" borderId="0" xfId="0" applyFont="1"/>
    <xf numFmtId="0" fontId="21" fillId="0" borderId="0" xfId="0" applyFont="1" applyAlignment="1">
      <alignment wrapText="1"/>
    </xf>
    <xf numFmtId="0" fontId="26" fillId="0" borderId="0" xfId="0" applyFont="1" applyAlignment="1">
      <alignment wrapText="1"/>
    </xf>
    <xf numFmtId="0" fontId="6" fillId="10" borderId="0" xfId="0" applyFont="1" applyFill="1" applyAlignment="1">
      <alignment wrapText="1"/>
    </xf>
    <xf numFmtId="0" fontId="6" fillId="15" borderId="0" xfId="0" applyFont="1" applyFill="1"/>
    <xf numFmtId="0" fontId="6" fillId="17" borderId="0" xfId="0" applyFont="1" applyFill="1"/>
    <xf numFmtId="0" fontId="6" fillId="17" borderId="0" xfId="0" applyFont="1" applyFill="1" applyAlignment="1">
      <alignment horizontal="center"/>
    </xf>
    <xf numFmtId="0" fontId="6" fillId="4" borderId="0" xfId="0" applyFont="1" applyFill="1"/>
    <xf numFmtId="0" fontId="18" fillId="17" borderId="0" xfId="0" applyFont="1" applyFill="1"/>
    <xf numFmtId="2" fontId="7" fillId="3" borderId="0" xfId="0" applyNumberFormat="1" applyFont="1" applyFill="1"/>
    <xf numFmtId="0" fontId="27" fillId="0" borderId="0" xfId="0" applyFont="1"/>
    <xf numFmtId="0" fontId="6" fillId="18" borderId="0" xfId="0" applyFont="1" applyFill="1"/>
    <xf numFmtId="0" fontId="6" fillId="18" borderId="0" xfId="0" applyFont="1" applyFill="1" applyAlignment="1">
      <alignment horizontal="center"/>
    </xf>
    <xf numFmtId="0" fontId="29" fillId="0" borderId="0" xfId="0" applyFont="1"/>
    <xf numFmtId="0" fontId="18" fillId="18" borderId="0" xfId="0" applyFont="1" applyFill="1"/>
    <xf numFmtId="10" fontId="0" fillId="0" borderId="0" xfId="0" applyNumberFormat="1"/>
    <xf numFmtId="0" fontId="28" fillId="9" borderId="0" xfId="0" applyFont="1" applyFill="1" applyAlignment="1">
      <alignment horizontal="center"/>
    </xf>
    <xf numFmtId="0" fontId="17" fillId="0" borderId="0" xfId="0" applyFont="1" applyAlignment="1">
      <alignment horizontal="center"/>
    </xf>
    <xf numFmtId="0" fontId="0" fillId="0" borderId="0" xfId="0" applyAlignment="1">
      <alignment wrapText="1"/>
    </xf>
    <xf numFmtId="0" fontId="16" fillId="9" borderId="0" xfId="0" applyFont="1" applyFill="1" applyAlignment="1">
      <alignment horizontal="center"/>
    </xf>
    <xf numFmtId="0" fontId="22" fillId="9" borderId="0" xfId="0" applyFont="1" applyFill="1" applyAlignment="1">
      <alignment horizontal="center"/>
    </xf>
    <xf numFmtId="0" fontId="2" fillId="5" borderId="0" xfId="0" applyFont="1" applyFill="1" applyAlignment="1">
      <alignment horizontal="center"/>
    </xf>
    <xf numFmtId="0" fontId="2" fillId="4" borderId="0" xfId="0" applyFont="1" applyFill="1" applyAlignment="1">
      <alignment horizontal="center"/>
    </xf>
    <xf numFmtId="0" fontId="2" fillId="11" borderId="0" xfId="0" applyFont="1" applyFill="1" applyAlignment="1">
      <alignment horizontal="center"/>
    </xf>
    <xf numFmtId="0" fontId="2" fillId="2" borderId="0" xfId="0" applyFont="1" applyFill="1" applyAlignment="1">
      <alignment horizontal="center"/>
    </xf>
    <xf numFmtId="0" fontId="3" fillId="0" borderId="0" xfId="0" applyFont="1" applyAlignment="1">
      <alignment horizontal="left"/>
    </xf>
    <xf numFmtId="0" fontId="2" fillId="6" borderId="0" xfId="0" applyFont="1" applyFill="1" applyAlignment="1">
      <alignment horizontal="center"/>
    </xf>
    <xf numFmtId="0" fontId="22" fillId="17" borderId="0" xfId="0" applyFont="1" applyFill="1" applyAlignment="1">
      <alignment horizontal="center"/>
    </xf>
    <xf numFmtId="0" fontId="2" fillId="15" borderId="0" xfId="0" applyFont="1" applyFill="1" applyAlignment="1">
      <alignment horizontal="center"/>
    </xf>
    <xf numFmtId="0" fontId="22" fillId="18" borderId="0" xfId="0" applyFont="1" applyFill="1" applyAlignment="1">
      <alignment horizontal="center"/>
    </xf>
    <xf numFmtId="0" fontId="18" fillId="9" borderId="0" xfId="0" applyFont="1" applyFill="1" applyAlignment="1">
      <alignment wrapText="1"/>
    </xf>
    <xf numFmtId="0" fontId="25" fillId="15" borderId="0" xfId="0" applyFont="1" applyFill="1"/>
    <xf numFmtId="0" fontId="33" fillId="3" borderId="0" xfId="0" applyFont="1" applyFill="1"/>
    <xf numFmtId="0" fontId="35" fillId="0" borderId="0" xfId="0" applyFont="1"/>
    <xf numFmtId="0" fontId="32" fillId="3" borderId="0" xfId="0" applyFont="1" applyFill="1"/>
    <xf numFmtId="0" fontId="36" fillId="10" borderId="0" xfId="0" applyFont="1" applyFill="1"/>
    <xf numFmtId="0" fontId="37" fillId="10" borderId="0" xfId="0" applyFont="1" applyFill="1"/>
    <xf numFmtId="0" fontId="25" fillId="0" borderId="0" xfId="0" applyFont="1" applyFill="1"/>
    <xf numFmtId="0" fontId="0" fillId="0" borderId="0" xfId="0" applyFill="1"/>
    <xf numFmtId="0" fontId="7" fillId="0" borderId="0" xfId="0" applyFont="1" applyFill="1"/>
    <xf numFmtId="0" fontId="39" fillId="0" borderId="0" xfId="0" applyFont="1" applyFill="1"/>
    <xf numFmtId="0" fontId="40" fillId="0" borderId="0" xfId="0" applyFont="1"/>
    <xf numFmtId="0" fontId="11" fillId="15" borderId="0" xfId="0" applyFont="1" applyFill="1" applyAlignment="1">
      <alignment horizontal="center"/>
    </xf>
    <xf numFmtId="0" fontId="23" fillId="0" borderId="0" xfId="0" applyFont="1" applyAlignment="1">
      <alignment horizontal="center"/>
    </xf>
    <xf numFmtId="0" fontId="11" fillId="10" borderId="0" xfId="0" applyFont="1" applyFill="1" applyAlignment="1">
      <alignment horizontal="center"/>
    </xf>
    <xf numFmtId="14" fontId="0" fillId="0" borderId="0" xfId="0" applyNumberFormat="1"/>
    <xf numFmtId="170" fontId="7" fillId="3" borderId="0" xfId="0" applyNumberFormat="1" applyFont="1" applyFill="1"/>
    <xf numFmtId="0" fontId="41" fillId="0" borderId="0" xfId="0" applyFont="1"/>
    <xf numFmtId="0" fontId="25" fillId="4" borderId="0" xfId="0" applyFont="1" applyFill="1"/>
    <xf numFmtId="0" fontId="38" fillId="15" borderId="0" xfId="0" applyFont="1" applyFill="1"/>
    <xf numFmtId="0" fontId="0" fillId="0" borderId="0" xfId="0" applyFont="1"/>
    <xf numFmtId="0" fontId="25" fillId="10" borderId="0" xfId="0" applyFont="1" applyFill="1"/>
    <xf numFmtId="0" fontId="43" fillId="0" borderId="0" xfId="0" applyFont="1"/>
    <xf numFmtId="0" fontId="42" fillId="0" borderId="0" xfId="0" applyFont="1"/>
    <xf numFmtId="0" fontId="44" fillId="0" borderId="0" xfId="0" applyFont="1"/>
    <xf numFmtId="0" fontId="44" fillId="0" borderId="0" xfId="0" applyFont="1" applyFill="1"/>
    <xf numFmtId="0" fontId="45" fillId="0" borderId="0" xfId="0" applyFont="1" applyFill="1"/>
    <xf numFmtId="0" fontId="31" fillId="9" borderId="0" xfId="0" applyFont="1" applyFill="1"/>
    <xf numFmtId="0" fontId="6" fillId="9" borderId="0" xfId="0" applyFont="1" applyFill="1"/>
    <xf numFmtId="0" fontId="37" fillId="9" borderId="0" xfId="0" applyFont="1" applyFill="1"/>
    <xf numFmtId="0" fontId="6" fillId="0" borderId="0" xfId="0" applyFont="1" applyFill="1"/>
    <xf numFmtId="0" fontId="41" fillId="0" borderId="0" xfId="0" applyFont="1" applyFill="1"/>
    <xf numFmtId="0" fontId="34" fillId="0" borderId="0" xfId="0" applyFont="1" applyFill="1"/>
    <xf numFmtId="170" fontId="7" fillId="0" borderId="0" xfId="0" applyNumberFormat="1" applyFont="1" applyFill="1"/>
    <xf numFmtId="170" fontId="0" fillId="0" borderId="0" xfId="0" applyNumberFormat="1" applyFill="1"/>
    <xf numFmtId="166" fontId="0" fillId="0" borderId="0" xfId="0" applyNumberFormat="1" applyFill="1"/>
    <xf numFmtId="0" fontId="18" fillId="0" borderId="0" xfId="0" applyFont="1" applyFill="1"/>
    <xf numFmtId="0" fontId="23" fillId="0" borderId="0" xfId="0" applyFont="1" applyFill="1"/>
    <xf numFmtId="165" fontId="6" fillId="10" borderId="0" xfId="0" applyNumberFormat="1" applyFont="1" applyFill="1"/>
    <xf numFmtId="165" fontId="6" fillId="4" borderId="0" xfId="0" applyNumberFormat="1" applyFont="1" applyFill="1"/>
    <xf numFmtId="170" fontId="47" fillId="0" borderId="0" xfId="0" applyNumberFormat="1" applyFont="1" applyFill="1"/>
    <xf numFmtId="166" fontId="6" fillId="10" borderId="0" xfId="0" applyNumberFormat="1" applyFont="1" applyFill="1"/>
    <xf numFmtId="0" fontId="21" fillId="0" borderId="0" xfId="0" applyFont="1" applyFill="1"/>
    <xf numFmtId="0" fontId="42" fillId="0" borderId="0" xfId="0" applyFont="1" applyFill="1"/>
    <xf numFmtId="0" fontId="35" fillId="0" borderId="0" xfId="0" applyFont="1" applyFill="1"/>
    <xf numFmtId="0" fontId="49" fillId="10" borderId="0" xfId="0" applyFont="1" applyFill="1"/>
    <xf numFmtId="0" fontId="50" fillId="0" borderId="0" xfId="0" applyFont="1" applyFill="1"/>
    <xf numFmtId="0" fontId="6" fillId="21" borderId="0" xfId="0" applyFont="1" applyFill="1"/>
    <xf numFmtId="0" fontId="42" fillId="0" borderId="0" xfId="0" applyFont="1" applyAlignment="1">
      <alignment horizontal="center"/>
    </xf>
    <xf numFmtId="0" fontId="6" fillId="20" borderId="0" xfId="0" applyFont="1" applyFill="1"/>
    <xf numFmtId="0" fontId="46" fillId="0" borderId="0" xfId="0" applyFont="1" applyFill="1"/>
    <xf numFmtId="0" fontId="51" fillId="0" borderId="0" xfId="0" applyFont="1" applyFill="1"/>
    <xf numFmtId="0" fontId="5" fillId="19" borderId="0" xfId="0" applyFont="1" applyFill="1"/>
    <xf numFmtId="0" fontId="49" fillId="0" borderId="0" xfId="0" applyFont="1" applyFill="1"/>
    <xf numFmtId="170" fontId="44" fillId="0" borderId="0" xfId="0" applyNumberFormat="1" applyFont="1" applyFill="1"/>
    <xf numFmtId="166" fontId="44" fillId="0" borderId="0" xfId="0" applyNumberFormat="1" applyFont="1" applyFill="1"/>
    <xf numFmtId="170" fontId="39" fillId="0" borderId="0" xfId="0" applyNumberFormat="1" applyFont="1" applyFill="1"/>
    <xf numFmtId="166" fontId="39" fillId="0" borderId="0" xfId="0" applyNumberFormat="1" applyFont="1" applyFill="1"/>
    <xf numFmtId="166" fontId="47" fillId="0" borderId="0" xfId="0" applyNumberFormat="1" applyFont="1" applyFill="1"/>
    <xf numFmtId="0" fontId="47" fillId="0" borderId="0" xfId="0" applyFont="1" applyFill="1"/>
    <xf numFmtId="1" fontId="44" fillId="0" borderId="0" xfId="0" applyNumberFormat="1" applyFont="1" applyFill="1"/>
    <xf numFmtId="0" fontId="52" fillId="0" borderId="0" xfId="0" applyFont="1" applyFill="1"/>
    <xf numFmtId="0" fontId="53" fillId="0" borderId="0" xfId="0" applyFont="1" applyFill="1"/>
    <xf numFmtId="166" fontId="40" fillId="0" borderId="0" xfId="0" applyNumberFormat="1" applyFont="1" applyFill="1"/>
    <xf numFmtId="0" fontId="55" fillId="0" borderId="0" xfId="0" applyFont="1" applyFill="1"/>
    <xf numFmtId="0" fontId="22" fillId="10" borderId="0" xfId="0" applyFont="1" applyFill="1" applyAlignment="1">
      <alignment horizontal="center"/>
    </xf>
    <xf numFmtId="0" fontId="36" fillId="0" borderId="0" xfId="0" applyFont="1" applyFill="1"/>
    <xf numFmtId="0" fontId="36" fillId="9" borderId="0" xfId="0" applyFont="1" applyFill="1"/>
    <xf numFmtId="1" fontId="0" fillId="0" borderId="0" xfId="0" applyNumberFormat="1"/>
    <xf numFmtId="1" fontId="5" fillId="0" borderId="0" xfId="0" applyNumberFormat="1" applyFont="1"/>
    <xf numFmtId="1" fontId="0" fillId="0" borderId="0" xfId="0" applyNumberFormat="1" applyFont="1"/>
    <xf numFmtId="166" fontId="0" fillId="0" borderId="0" xfId="0" applyNumberFormat="1" applyFont="1"/>
    <xf numFmtId="170" fontId="0" fillId="0" borderId="0" xfId="0" applyNumberFormat="1" applyFont="1"/>
    <xf numFmtId="3" fontId="0" fillId="0" borderId="0" xfId="0" applyNumberFormat="1" applyFont="1"/>
    <xf numFmtId="0" fontId="30" fillId="0" borderId="0" xfId="0" applyFont="1" applyFill="1" applyAlignment="1">
      <alignment horizontal="center"/>
    </xf>
    <xf numFmtId="0" fontId="17" fillId="0" borderId="0" xfId="0" applyFont="1" applyFill="1" applyAlignment="1">
      <alignment horizontal="center"/>
    </xf>
    <xf numFmtId="0" fontId="42" fillId="0" borderId="0" xfId="0" applyFont="1" applyFill="1" applyAlignment="1">
      <alignment horizontal="center"/>
    </xf>
    <xf numFmtId="0" fontId="25" fillId="9" borderId="0" xfId="0" applyFont="1" applyFill="1"/>
    <xf numFmtId="0" fontId="44" fillId="22" borderId="0" xfId="0" applyFont="1" applyFill="1"/>
    <xf numFmtId="0" fontId="21" fillId="22" borderId="0" xfId="0" applyFont="1" applyFill="1"/>
    <xf numFmtId="0" fontId="54" fillId="13" borderId="0" xfId="0" applyFont="1" applyFill="1"/>
    <xf numFmtId="0" fontId="55" fillId="13" borderId="0" xfId="0" applyFont="1" applyFill="1"/>
    <xf numFmtId="0" fontId="0" fillId="13" borderId="0" xfId="0" applyFill="1"/>
    <xf numFmtId="0" fontId="6" fillId="22" borderId="0" xfId="0" applyFont="1" applyFill="1"/>
    <xf numFmtId="170" fontId="6" fillId="22" borderId="0" xfId="0" applyNumberFormat="1" applyFont="1" applyFill="1"/>
    <xf numFmtId="0" fontId="5" fillId="22" borderId="0" xfId="0" applyFont="1" applyFill="1"/>
    <xf numFmtId="170" fontId="7" fillId="13" borderId="0" xfId="0" applyNumberFormat="1" applyFont="1" applyFill="1"/>
    <xf numFmtId="0" fontId="5" fillId="13" borderId="0" xfId="0" applyFont="1" applyFill="1"/>
    <xf numFmtId="170" fontId="7" fillId="22" borderId="0" xfId="0" applyNumberFormat="1" applyFont="1" applyFill="1"/>
    <xf numFmtId="0" fontId="33" fillId="13" borderId="0" xfId="0" applyFont="1" applyFill="1"/>
    <xf numFmtId="0" fontId="56" fillId="23" borderId="0" xfId="0" applyFont="1" applyFill="1"/>
    <xf numFmtId="0" fontId="0" fillId="13" borderId="0" xfId="0" applyFont="1" applyFill="1"/>
    <xf numFmtId="170" fontId="0" fillId="13" borderId="0" xfId="0" applyNumberFormat="1" applyFont="1" applyFill="1"/>
    <xf numFmtId="0" fontId="0" fillId="22" borderId="0" xfId="0" applyFont="1" applyFill="1"/>
    <xf numFmtId="170" fontId="0" fillId="22" borderId="0" xfId="0" applyNumberFormat="1" applyFont="1" applyFill="1"/>
    <xf numFmtId="0" fontId="32" fillId="13" borderId="0" xfId="0" applyFont="1" applyFill="1"/>
    <xf numFmtId="0" fontId="24" fillId="13" borderId="0" xfId="0" applyFont="1" applyFill="1"/>
    <xf numFmtId="0" fontId="6" fillId="9" borderId="0" xfId="0" applyFont="1" applyFill="1" applyAlignment="1">
      <alignment horizontal="center" wrapText="1"/>
    </xf>
    <xf numFmtId="0" fontId="44" fillId="0" borderId="0" xfId="0" applyFont="1" applyFill="1" applyAlignment="1">
      <alignment horizontal="left" vertical="top" wrapText="1"/>
    </xf>
    <xf numFmtId="0" fontId="44" fillId="22" borderId="0" xfId="0" applyFont="1" applyFill="1" applyAlignment="1">
      <alignment horizontal="left" vertical="top" wrapText="1"/>
    </xf>
    <xf numFmtId="0" fontId="21" fillId="0" borderId="0" xfId="0" applyFont="1" applyFill="1" applyAlignment="1">
      <alignment horizontal="left" vertical="top" wrapText="1"/>
    </xf>
    <xf numFmtId="0" fontId="21" fillId="22" borderId="0" xfId="0" applyFont="1" applyFill="1" applyAlignment="1">
      <alignment horizontal="left" vertical="top" wrapText="1"/>
    </xf>
    <xf numFmtId="0" fontId="57" fillId="9" borderId="0" xfId="0" applyFont="1" applyFill="1" applyAlignment="1">
      <alignment horizontal="center"/>
    </xf>
    <xf numFmtId="0" fontId="58" fillId="4" borderId="0" xfId="0" applyFont="1" applyFill="1" applyAlignment="1">
      <alignment horizontal="center"/>
    </xf>
    <xf numFmtId="0" fontId="57" fillId="10" borderId="0" xfId="0" applyFont="1" applyFill="1" applyAlignment="1">
      <alignment horizontal="center"/>
    </xf>
    <xf numFmtId="0" fontId="58" fillId="11" borderId="0" xfId="0" applyFont="1" applyFill="1" applyAlignment="1">
      <alignment horizontal="center"/>
    </xf>
    <xf numFmtId="0" fontId="42" fillId="0" borderId="0" xfId="0" applyFont="1" applyAlignment="1">
      <alignment horizontal="left"/>
    </xf>
    <xf numFmtId="0" fontId="58" fillId="12" borderId="0" xfId="0" applyFont="1" applyFill="1" applyAlignment="1">
      <alignment horizontal="center"/>
    </xf>
    <xf numFmtId="0" fontId="57" fillId="17" borderId="0" xfId="0" applyFont="1" applyFill="1" applyAlignment="1">
      <alignment horizontal="center"/>
    </xf>
    <xf numFmtId="0" fontId="58" fillId="15" borderId="0" xfId="0" applyFont="1" applyFill="1" applyAlignment="1">
      <alignment horizontal="center"/>
    </xf>
    <xf numFmtId="0" fontId="57" fillId="9" borderId="0" xfId="0" applyFont="1" applyFill="1" applyAlignment="1">
      <alignment horizontal="center"/>
    </xf>
    <xf numFmtId="0" fontId="6" fillId="11" borderId="0" xfId="0" applyFont="1" applyFill="1" applyAlignment="1">
      <alignment horizontal="center" wrapText="1"/>
    </xf>
    <xf numFmtId="0" fontId="6" fillId="12" borderId="0" xfId="0" applyFont="1" applyFill="1" applyAlignment="1">
      <alignment horizontal="center" wrapText="1"/>
    </xf>
    <xf numFmtId="0" fontId="6" fillId="9" borderId="0" xfId="0" applyFont="1" applyFill="1" applyAlignment="1">
      <alignment horizontal="center" vertical="center" wrapText="1"/>
    </xf>
    <xf numFmtId="0" fontId="6" fillId="10" borderId="0" xfId="0" applyFont="1" applyFill="1" applyAlignment="1">
      <alignment horizontal="center"/>
    </xf>
    <xf numFmtId="0" fontId="53" fillId="0" borderId="0" xfId="0" applyFont="1" applyFill="1" applyAlignment="1">
      <alignment wrapText="1"/>
    </xf>
    <xf numFmtId="0" fontId="48" fillId="19" borderId="0" xfId="0" applyFont="1" applyFill="1"/>
    <xf numFmtId="0" fontId="58" fillId="18" borderId="0" xfId="0" applyFont="1" applyFill="1" applyAlignment="1">
      <alignment horizontal="center"/>
    </xf>
    <xf numFmtId="0" fontId="55" fillId="13" borderId="0" xfId="0" applyFont="1" applyFill="1" applyAlignment="1"/>
    <xf numFmtId="0" fontId="24" fillId="9" borderId="0" xfId="0" applyFont="1" applyFill="1" applyAlignment="1"/>
    <xf numFmtId="0" fontId="0" fillId="0" borderId="0" xfId="0" applyAlignment="1"/>
    <xf numFmtId="0" fontId="23" fillId="0" borderId="0" xfId="0" applyFont="1" applyAlignment="1"/>
    <xf numFmtId="0" fontId="25" fillId="15" borderId="0" xfId="0" applyFont="1" applyFill="1" applyAlignment="1"/>
    <xf numFmtId="0" fontId="42" fillId="0" borderId="0" xfId="0" applyFont="1" applyAlignment="1"/>
    <xf numFmtId="0" fontId="19" fillId="0" borderId="0" xfId="0" applyFont="1" applyAlignment="1"/>
    <xf numFmtId="0" fontId="15" fillId="0" borderId="0" xfId="0" applyFont="1" applyAlignment="1"/>
    <xf numFmtId="0" fontId="32" fillId="3" borderId="0" xfId="0" applyFont="1" applyFill="1" applyAlignment="1"/>
    <xf numFmtId="0" fontId="25" fillId="12" borderId="0" xfId="0" applyFont="1" applyFill="1" applyAlignment="1"/>
    <xf numFmtId="166" fontId="25" fillId="12" borderId="0" xfId="0" applyNumberFormat="1" applyFont="1" applyFill="1" applyAlignment="1"/>
    <xf numFmtId="0" fontId="24" fillId="17" borderId="0" xfId="0" applyFont="1" applyFill="1" applyAlignment="1"/>
    <xf numFmtId="0" fontId="24" fillId="18" borderId="0" xfId="0" applyFont="1" applyFill="1" applyAlignment="1"/>
    <xf numFmtId="0" fontId="21" fillId="0" borderId="0" xfId="0" applyFont="1" applyAlignment="1"/>
    <xf numFmtId="0" fontId="18" fillId="9" borderId="0" xfId="0" applyFont="1" applyFill="1" applyAlignment="1"/>
    <xf numFmtId="0" fontId="6" fillId="16" borderId="0" xfId="0" applyFont="1" applyFill="1" applyAlignment="1"/>
    <xf numFmtId="0" fontId="3" fillId="0" borderId="0" xfId="0" applyFont="1" applyAlignment="1"/>
    <xf numFmtId="0" fontId="6" fillId="12" borderId="0" xfId="0" applyFont="1" applyFill="1" applyAlignment="1"/>
    <xf numFmtId="0" fontId="6" fillId="11" borderId="0" xfId="0" applyFont="1" applyFill="1" applyAlignment="1"/>
    <xf numFmtId="0" fontId="18" fillId="17" borderId="0" xfId="0" applyFont="1" applyFill="1" applyAlignment="1"/>
    <xf numFmtId="0" fontId="18" fillId="18" borderId="0" xfId="0" applyFont="1" applyFill="1" applyAlignment="1"/>
    <xf numFmtId="0" fontId="6" fillId="17" borderId="0" xfId="0" applyFont="1" applyFill="1" applyAlignment="1"/>
    <xf numFmtId="0" fontId="41" fillId="0" borderId="0" xfId="0" applyFont="1" applyAlignment="1"/>
    <xf numFmtId="0" fontId="35" fillId="0" borderId="0" xfId="0" applyFont="1" applyAlignment="1"/>
    <xf numFmtId="0" fontId="46" fillId="15" borderId="0" xfId="0" applyFont="1" applyFill="1" applyAlignment="1"/>
    <xf numFmtId="0" fontId="50" fillId="0" borderId="0" xfId="0" applyFont="1" applyFill="1" applyAlignment="1"/>
    <xf numFmtId="0" fontId="41" fillId="0" borderId="0" xfId="0" applyFont="1" applyFill="1" applyAlignment="1"/>
    <xf numFmtId="0" fontId="42" fillId="0" borderId="0" xfId="0" applyFont="1" applyFill="1" applyAlignment="1"/>
    <xf numFmtId="0" fontId="50" fillId="10" borderId="0" xfId="0" applyFont="1" applyFill="1" applyAlignment="1"/>
    <xf numFmtId="0" fontId="54" fillId="13" borderId="0" xfId="0" applyFont="1" applyFill="1" applyAlignment="1"/>
    <xf numFmtId="0" fontId="49" fillId="0" borderId="0" xfId="0" applyFont="1" applyFill="1" applyAlignment="1"/>
    <xf numFmtId="0" fontId="6" fillId="15" borderId="0" xfId="0" applyFont="1" applyFill="1" applyAlignment="1"/>
    <xf numFmtId="0" fontId="44" fillId="0" borderId="0" xfId="0" applyFont="1" applyFill="1" applyAlignment="1"/>
    <xf numFmtId="0" fontId="18" fillId="0" borderId="0" xfId="0" applyFont="1" applyFill="1" applyAlignment="1"/>
    <xf numFmtId="0" fontId="6" fillId="10" borderId="0" xfId="0" applyFont="1" applyFill="1" applyAlignment="1"/>
    <xf numFmtId="0" fontId="25" fillId="9" borderId="0" xfId="0" applyFont="1" applyFill="1" applyAlignment="1"/>
    <xf numFmtId="0" fontId="21" fillId="0" borderId="0" xfId="0" applyFont="1" applyFill="1" applyAlignment="1"/>
    <xf numFmtId="0" fontId="6" fillId="21" borderId="0" xfId="0" applyFont="1" applyFill="1" applyAlignment="1"/>
    <xf numFmtId="0" fontId="59" fillId="15" borderId="0" xfId="0" applyFont="1" applyFill="1" applyAlignment="1"/>
    <xf numFmtId="0" fontId="60" fillId="0" borderId="0" xfId="0" applyFont="1" applyFill="1" applyAlignment="1"/>
    <xf numFmtId="0" fontId="37" fillId="10" borderId="0" xfId="0" applyFont="1" applyFill="1" applyAlignment="1"/>
    <xf numFmtId="0" fontId="34" fillId="0" borderId="0" xfId="0" applyFont="1" applyAlignment="1"/>
  </cellXfs>
  <cellStyles count="1">
    <cellStyle name="Normal" xfId="0" builtinId="0"/>
  </cellStyles>
  <dxfs count="400">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3" formatCode="#,##0"/>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5" formatCode="0.0"/>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3" formatCode="#,##0"/>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6" formatCode="0.0%"/>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3" formatCode="#,##0"/>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i val="0"/>
        <strike val="0"/>
        <condense val="0"/>
        <extend val="0"/>
        <outline val="0"/>
        <shadow val="0"/>
        <u val="none"/>
        <vertAlign val="baseline"/>
        <sz val="11"/>
        <color rgb="FFFFFFFF"/>
        <name val="Calibri"/>
        <family val="2"/>
        <scheme val="minor"/>
      </font>
      <fill>
        <patternFill patternType="solid">
          <fgColor indexed="64"/>
          <bgColor rgb="FF6C7470"/>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numFmt numFmtId="166" formatCode="0.0%"/>
    </dxf>
    <dxf>
      <font>
        <b val="0"/>
        <i val="0"/>
        <strike val="0"/>
        <condense val="0"/>
        <extend val="0"/>
        <outline val="0"/>
        <shadow val="0"/>
        <u val="none"/>
        <vertAlign val="baseline"/>
        <sz val="11"/>
        <color rgb="FF0000FF"/>
        <name val="Calibri"/>
        <family val="2"/>
        <scheme val="minor"/>
      </font>
      <numFmt numFmtId="13" formatCode="0%"/>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5" formatCode="0.0"/>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3" formatCode="#,##0"/>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i val="0"/>
        <strike val="0"/>
        <condense val="0"/>
        <extend val="0"/>
        <outline val="0"/>
        <shadow val="0"/>
        <u val="none"/>
        <vertAlign val="baseline"/>
        <sz val="11"/>
        <color rgb="FFFFFFFF"/>
        <name val="Calibri"/>
        <family val="2"/>
        <scheme val="minor"/>
      </font>
      <fill>
        <patternFill patternType="solid">
          <fgColor indexed="64"/>
          <bgColor rgb="FF6C7470"/>
        </patternFill>
      </fill>
      <alignment horizontal="center"/>
    </dxf>
    <dxf>
      <font>
        <b/>
        <i val="0"/>
        <strike val="0"/>
        <condense val="0"/>
        <extend val="0"/>
        <outline val="0"/>
        <shadow val="0"/>
        <u val="none"/>
        <vertAlign val="baseline"/>
        <sz val="11"/>
        <color rgb="FFFFFFFF"/>
        <name val="Calibri"/>
        <family val="2"/>
        <scheme val="minor"/>
      </font>
      <fill>
        <patternFill patternType="solid">
          <fgColor indexed="64"/>
          <bgColor rgb="FF6B5B4F"/>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i val="0"/>
        <strike val="0"/>
        <condense val="0"/>
        <extend val="0"/>
        <outline val="0"/>
        <shadow val="0"/>
        <u val="none"/>
        <vertAlign val="baseline"/>
        <sz val="11"/>
        <color rgb="FFFFFFFF"/>
        <name val="Calibri"/>
        <family val="2"/>
        <scheme val="minor"/>
      </font>
      <fill>
        <patternFill patternType="solid">
          <fgColor indexed="64"/>
          <bgColor rgb="FF548235"/>
        </patternFill>
      </fill>
      <alignment horizontal="center"/>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i val="0"/>
        <strike val="0"/>
        <condense val="0"/>
        <extend val="0"/>
        <outline val="0"/>
        <shadow val="0"/>
        <u val="none"/>
        <vertAlign val="baseline"/>
        <sz val="11"/>
        <color rgb="FFFFFFFF"/>
        <name val="Calibri"/>
        <family val="2"/>
        <scheme val="minor"/>
      </font>
      <fill>
        <patternFill patternType="solid">
          <fgColor indexed="64"/>
          <bgColor rgb="FF6B5B4F"/>
        </patternFill>
      </fill>
      <alignment horizontal="center"/>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i val="0"/>
        <strike val="0"/>
        <condense val="0"/>
        <extend val="0"/>
        <outline val="0"/>
        <shadow val="0"/>
        <u val="none"/>
        <vertAlign val="baseline"/>
        <sz val="11"/>
        <color rgb="FFFFFFFF"/>
        <name val="Calibri"/>
        <family val="2"/>
        <scheme val="minor"/>
      </font>
      <fill>
        <patternFill patternType="solid">
          <fgColor indexed="64"/>
          <bgColor rgb="FF548235"/>
        </patternFill>
      </fill>
      <alignment horizontal="center"/>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5" formatCode="0.0"/>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3" formatCode="#,##0"/>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3" formatCode="#,##0"/>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i val="0"/>
        <strike val="0"/>
        <condense val="0"/>
        <extend val="0"/>
        <outline val="0"/>
        <shadow val="0"/>
        <u val="none"/>
        <vertAlign val="baseline"/>
        <sz val="11"/>
        <color rgb="FFFFFFFF"/>
        <name val="Calibri"/>
        <family val="2"/>
        <scheme val="minor"/>
      </font>
      <fill>
        <patternFill patternType="solid">
          <fgColor indexed="64"/>
          <bgColor rgb="FF6B5B4F"/>
        </patternFill>
      </fill>
      <alignment horizontal="center" vertical="bottom" textRotation="0" wrapText="0" indent="0" justifyLastLine="0" shrinkToFit="0" readingOrder="0"/>
    </dxf>
    <dxf>
      <font>
        <b/>
        <i val="0"/>
        <strike val="0"/>
        <condense val="0"/>
        <extend val="0"/>
        <outline val="0"/>
        <shadow val="0"/>
        <u val="none"/>
        <vertAlign val="baseline"/>
        <sz val="11"/>
        <color rgb="FFFFFFFF"/>
        <name val="Calibri"/>
        <family val="2"/>
        <scheme val="minor"/>
      </font>
      <fill>
        <patternFill patternType="solid">
          <fgColor indexed="64"/>
          <bgColor rgb="FF4A5568"/>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i val="0"/>
        <strike val="0"/>
        <condense val="0"/>
        <extend val="0"/>
        <outline val="0"/>
        <shadow val="0"/>
        <u val="none"/>
        <vertAlign val="baseline"/>
        <sz val="11"/>
        <color rgb="FFFFFFFF"/>
        <name val="Calibri"/>
        <family val="2"/>
        <scheme val="minor"/>
      </font>
      <fill>
        <patternFill patternType="solid">
          <fgColor indexed="64"/>
          <bgColor rgb="FF548235"/>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i val="0"/>
        <strike val="0"/>
        <condense val="0"/>
        <extend val="0"/>
        <outline val="0"/>
        <shadow val="0"/>
        <u val="none"/>
        <vertAlign val="baseline"/>
        <sz val="11"/>
        <color rgb="FFFFFFFF"/>
        <name val="Calibri"/>
        <family val="2"/>
        <scheme val="minor"/>
      </font>
      <fill>
        <patternFill patternType="solid">
          <fgColor indexed="64"/>
          <bgColor rgb="FF4A5568"/>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5" formatCode="0.0"/>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5" formatCode="0.0"/>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5" formatCode="0.0"/>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i val="0"/>
        <strike val="0"/>
        <condense val="0"/>
        <extend val="0"/>
        <outline val="0"/>
        <shadow val="0"/>
        <u val="none"/>
        <vertAlign val="baseline"/>
        <sz val="11"/>
        <color rgb="FFFFFFFF"/>
        <name val="Calibri"/>
        <family val="2"/>
        <scheme val="minor"/>
      </font>
      <fill>
        <patternFill patternType="solid">
          <fgColor indexed="64"/>
          <bgColor rgb="FF548235"/>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5" formatCode="0.0"/>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5" formatCode="0.0"/>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5" formatCode="0.0"/>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i val="0"/>
        <strike val="0"/>
        <condense val="0"/>
        <extend val="0"/>
        <outline val="0"/>
        <shadow val="0"/>
        <u val="none"/>
        <vertAlign val="baseline"/>
        <sz val="11"/>
        <color rgb="FFFFFFFF"/>
        <name val="Calibri"/>
        <family val="2"/>
        <scheme val="minor"/>
      </font>
      <fill>
        <patternFill patternType="solid">
          <fgColor indexed="64"/>
          <bgColor rgb="FF4A5568"/>
        </patternFill>
      </fill>
      <alignment horizontal="center" vertical="bottom" textRotation="0" wrapText="0" indent="0" justifyLastLine="0" shrinkToFit="0" readingOrder="0"/>
    </dxf>
    <dxf>
      <alignment wrapText="1"/>
    </dxf>
    <dxf>
      <alignment wrapText="1"/>
    </dxf>
    <dxf>
      <alignment wrapText="1"/>
    </dxf>
    <dxf>
      <alignment wrapText="1"/>
    </dxf>
    <dxf>
      <font>
        <b/>
        <i val="0"/>
        <strike val="0"/>
        <condense val="0"/>
        <extend val="0"/>
        <outline val="0"/>
        <shadow val="0"/>
        <u val="none"/>
        <vertAlign val="baseline"/>
        <sz val="11"/>
        <color rgb="FFFFFFFF"/>
        <name val="Calibri"/>
        <family val="2"/>
        <scheme val="minor"/>
      </font>
      <fill>
        <patternFill patternType="solid">
          <fgColor indexed="64"/>
          <bgColor rgb="FF535C63"/>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i val="0"/>
        <strike val="0"/>
        <condense val="0"/>
        <extend val="0"/>
        <outline val="0"/>
        <shadow val="0"/>
        <u val="none"/>
        <vertAlign val="baseline"/>
        <sz val="11"/>
        <color rgb="FFFFFFFF"/>
        <name val="Calibri"/>
        <family val="2"/>
        <scheme val="minor"/>
      </font>
      <fill>
        <patternFill patternType="solid">
          <fgColor indexed="64"/>
          <bgColor rgb="FF548235"/>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i val="0"/>
        <strike val="0"/>
        <condense val="0"/>
        <extend val="0"/>
        <outline val="0"/>
        <shadow val="0"/>
        <u val="none"/>
        <vertAlign val="baseline"/>
        <sz val="11"/>
        <color rgb="FFFFFFFF"/>
        <name val="Calibri"/>
        <family val="2"/>
        <scheme val="minor"/>
      </font>
      <fill>
        <patternFill patternType="solid">
          <fgColor indexed="64"/>
          <bgColor rgb="FF535C63"/>
        </patternFill>
      </fill>
      <alignment horizontal="center" vertical="bottom" textRotation="0" wrapText="0" indent="0" justifyLastLine="0" shrinkToFit="0" readingOrder="0"/>
    </dxf>
    <dxf>
      <font>
        <color rgb="FF9C0006"/>
      </font>
      <fill>
        <patternFill patternType="solid">
          <fgColor indexed="64"/>
          <bgColor rgb="FFFFC7CE"/>
        </patternFill>
      </fill>
    </dxf>
    <dxf>
      <font>
        <color rgb="FF1F4E79"/>
      </font>
      <fill>
        <patternFill patternType="solid">
          <fgColor indexed="64"/>
          <bgColor rgb="FFDDEBF7"/>
        </patternFill>
      </fill>
    </dxf>
    <dxf>
      <font>
        <color rgb="FFC65911"/>
      </font>
      <fill>
        <patternFill patternType="solid">
          <fgColor indexed="64"/>
          <bgColor rgb="FFFCE4D6"/>
        </patternFill>
      </fill>
    </dxf>
    <dxf>
      <font>
        <color rgb="FF9C0006"/>
      </font>
      <fill>
        <patternFill patternType="solid">
          <fgColor indexed="64"/>
          <bgColor rgb="FFFFC7CE"/>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6" formatCode="0.0%"/>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3" formatCode="#,##0"/>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i val="0"/>
        <strike val="0"/>
        <condense val="0"/>
        <extend val="0"/>
        <outline val="0"/>
        <shadow val="0"/>
        <u val="none"/>
        <vertAlign val="baseline"/>
        <sz val="11"/>
        <color rgb="FFFFFFFF"/>
        <name val="Calibri"/>
        <family val="2"/>
        <scheme val="minor"/>
      </font>
      <fill>
        <patternFill patternType="solid">
          <fgColor indexed="64"/>
          <bgColor rgb="FF548235"/>
        </patternFill>
      </fill>
      <alignment horizontal="center" vertical="bottom" textRotation="0" wrapText="0" indent="0" justifyLastLine="0" shrinkToFit="0" readingOrder="0"/>
    </dxf>
    <dxf>
      <font>
        <color rgb="FF9C0006"/>
      </font>
      <fill>
        <patternFill patternType="solid">
          <fgColor indexed="64"/>
          <bgColor rgb="FFFFC7CE"/>
        </patternFill>
      </fill>
    </dxf>
    <dxf>
      <font>
        <color rgb="FF006100"/>
      </font>
      <fill>
        <patternFill patternType="solid">
          <fgColor indexed="64"/>
          <bgColor rgb="FFC6EFCE"/>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6" formatCode="0.0%"/>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3" formatCode="#,##0"/>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5" formatCode="0.0"/>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i val="0"/>
        <strike val="0"/>
        <condense val="0"/>
        <extend val="0"/>
        <outline val="0"/>
        <shadow val="0"/>
        <u val="none"/>
        <vertAlign val="baseline"/>
        <sz val="11"/>
        <color rgb="FFFFFFFF"/>
        <name val="Calibri"/>
        <family val="2"/>
        <scheme val="minor"/>
      </font>
      <fill>
        <patternFill patternType="solid">
          <fgColor indexed="64"/>
          <bgColor rgb="FF535C63"/>
        </patternFill>
      </fill>
      <alignment horizontal="center" vertical="bottom" textRotation="0" wrapText="0" indent="0" justifyLastLine="0" shrinkToFit="0" readingOrder="0"/>
    </dxf>
    <dxf>
      <font>
        <color rgb="FF1F4E79"/>
      </font>
      <fill>
        <patternFill patternType="solid">
          <fgColor indexed="64"/>
          <bgColor rgb="FFDDEBF7"/>
        </patternFill>
      </fill>
    </dxf>
    <dxf>
      <font>
        <color rgb="FF5B2C6F"/>
      </font>
      <fill>
        <patternFill patternType="solid">
          <fgColor indexed="64"/>
          <bgColor rgb="FFE2D5F1"/>
        </patternFill>
      </fill>
    </dxf>
    <dxf>
      <font>
        <color rgb="FFC65911"/>
      </font>
      <fill>
        <patternFill patternType="solid">
          <fgColor indexed="64"/>
          <bgColor rgb="FFFCE4D6"/>
        </patternFill>
      </fill>
    </dxf>
    <dxf>
      <font>
        <color rgb="FF9C0006"/>
      </font>
      <fill>
        <patternFill patternType="solid">
          <fgColor indexed="64"/>
          <bgColor rgb="FFFFC7CE"/>
        </patternFill>
      </fill>
    </dxf>
    <dxf>
      <alignment wrapText="1"/>
    </dxf>
    <dxf>
      <alignment wrapText="1"/>
    </dxf>
    <dxf>
      <alignment wrapText="1"/>
    </dxf>
    <dxf>
      <alignment wrapText="1"/>
    </dxf>
    <dxf>
      <font>
        <b/>
        <i val="0"/>
        <strike val="0"/>
        <condense val="0"/>
        <extend val="0"/>
        <outline val="0"/>
        <shadow val="0"/>
        <u val="none"/>
        <vertAlign val="baseline"/>
        <sz val="11"/>
        <color rgb="FFFFFFFF"/>
        <name val="Calibri"/>
        <family val="2"/>
        <scheme val="minor"/>
      </font>
      <fill>
        <patternFill patternType="solid">
          <fgColor indexed="64"/>
          <bgColor rgb="FF9F957C"/>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i val="0"/>
        <strike val="0"/>
        <condense val="0"/>
        <extend val="0"/>
        <outline val="0"/>
        <shadow val="0"/>
        <u val="none"/>
        <vertAlign val="baseline"/>
        <sz val="11"/>
        <color rgb="FFFFFFFF"/>
        <name val="Calibri"/>
        <family val="2"/>
        <scheme val="minor"/>
      </font>
      <fill>
        <patternFill patternType="solid">
          <fgColor indexed="64"/>
          <bgColor rgb="FF548235"/>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i val="0"/>
        <strike val="0"/>
        <condense val="0"/>
        <extend val="0"/>
        <outline val="0"/>
        <shadow val="0"/>
        <u val="none"/>
        <vertAlign val="baseline"/>
        <sz val="11"/>
        <color rgb="FFFFFFFF"/>
        <name val="Calibri"/>
        <family val="2"/>
        <scheme val="minor"/>
      </font>
      <fill>
        <patternFill patternType="solid">
          <fgColor indexed="64"/>
          <bgColor rgb="FF9F957C"/>
        </patternFill>
      </fill>
      <alignment horizontal="center" vertical="bottom" textRotation="0" wrapText="0" indent="0" justifyLastLine="0" shrinkToFit="0" readingOrder="0"/>
    </dxf>
    <dxf>
      <font>
        <color rgb="FFC65911"/>
      </font>
      <fill>
        <patternFill patternType="solid">
          <fgColor indexed="64"/>
          <bgColor rgb="FFFCE4D6"/>
        </patternFill>
      </fill>
    </dxf>
    <dxf>
      <font>
        <color rgb="FF006100"/>
      </font>
      <fill>
        <patternFill patternType="solid">
          <fgColor indexed="64"/>
          <bgColor rgb="FFC6EFCE"/>
        </patternFill>
      </fill>
    </dxf>
    <dxf>
      <font>
        <color rgb="FF1F4E79"/>
      </font>
      <fill>
        <patternFill patternType="solid">
          <fgColor indexed="64"/>
          <bgColor rgb="FFDDEBF7"/>
        </patternFill>
      </fill>
    </dxf>
    <dxf>
      <font>
        <color rgb="FF9C0006"/>
      </font>
      <fill>
        <patternFill patternType="solid">
          <fgColor indexed="64"/>
          <bgColor rgb="FFFFC7CE"/>
        </patternFill>
      </fill>
    </dxf>
    <dxf>
      <font>
        <color rgb="FF375623"/>
      </font>
      <fill>
        <patternFill patternType="solid">
          <fgColor indexed="64"/>
          <bgColor rgb="FFE2EFDA"/>
        </patternFill>
      </fill>
    </dxf>
    <dxf>
      <font>
        <color rgb="FF806000"/>
      </font>
      <fill>
        <patternFill patternType="solid">
          <fgColor indexed="64"/>
          <bgColor rgb="FFFFF2CC"/>
        </patternFill>
      </fill>
    </dxf>
    <dxf>
      <font>
        <color rgb="FFC65911"/>
      </font>
      <fill>
        <patternFill patternType="solid">
          <fgColor indexed="64"/>
          <bgColor rgb="FFFCE4D6"/>
        </patternFill>
      </fill>
    </dxf>
    <dxf>
      <font>
        <color rgb="FF9C0006"/>
      </font>
      <fill>
        <patternFill patternType="solid">
          <fgColor indexed="64"/>
          <bgColor rgb="FFFFC7CE"/>
        </patternFill>
      </fill>
    </dxf>
    <dxf>
      <alignment wrapText="1"/>
    </dxf>
    <dxf>
      <alignment wrapText="1"/>
    </dxf>
    <dxf>
      <alignment wrapText="1"/>
    </dxf>
    <dxf>
      <alignment wrapText="1"/>
    </dxf>
    <dxf>
      <font>
        <b/>
        <i val="0"/>
        <strike val="0"/>
        <condense val="0"/>
        <extend val="0"/>
        <outline val="0"/>
        <shadow val="0"/>
        <u val="none"/>
        <vertAlign val="baseline"/>
        <sz val="11"/>
        <color rgb="FFFFFFFF"/>
        <name val="Calibri"/>
        <family val="2"/>
        <scheme val="minor"/>
      </font>
      <fill>
        <patternFill patternType="solid">
          <fgColor indexed="64"/>
          <bgColor rgb="FF3A414F"/>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i val="0"/>
        <strike val="0"/>
        <condense val="0"/>
        <extend val="0"/>
        <outline val="0"/>
        <shadow val="0"/>
        <u val="none"/>
        <vertAlign val="baseline"/>
        <sz val="11"/>
        <color rgb="FFFFFFFF"/>
        <name val="Calibri"/>
        <family val="2"/>
        <scheme val="minor"/>
      </font>
      <fill>
        <patternFill patternType="solid">
          <fgColor indexed="64"/>
          <bgColor rgb="FF548235"/>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i val="0"/>
        <strike val="0"/>
        <condense val="0"/>
        <extend val="0"/>
        <outline val="0"/>
        <shadow val="0"/>
        <u val="none"/>
        <vertAlign val="baseline"/>
        <sz val="11"/>
        <color rgb="FFFFFFFF"/>
        <name val="Calibri"/>
        <family val="2"/>
        <scheme val="minor"/>
      </font>
      <fill>
        <patternFill patternType="solid">
          <fgColor indexed="64"/>
          <bgColor rgb="FF3A414F"/>
        </patternFill>
      </fill>
      <alignment horizontal="center" vertical="bottom" textRotation="0" wrapText="0" indent="0" justifyLastLine="0" shrinkToFit="0" readingOrder="0"/>
    </dxf>
    <dxf>
      <font>
        <color rgb="FF1F4E79"/>
      </font>
      <fill>
        <patternFill patternType="solid">
          <fgColor indexed="64"/>
          <bgColor rgb="FFDDEBF7"/>
        </patternFill>
      </fill>
    </dxf>
    <dxf>
      <font>
        <color rgb="FF9C0006"/>
      </font>
      <fill>
        <patternFill patternType="solid">
          <fgColor indexed="64"/>
          <bgColor rgb="FFFFC7CE"/>
        </patternFill>
      </fill>
    </dxf>
    <dxf>
      <font>
        <color rgb="FF375623"/>
      </font>
      <fill>
        <patternFill patternType="solid">
          <fgColor indexed="64"/>
          <bgColor rgb="FFE2EFDA"/>
        </patternFill>
      </fill>
    </dxf>
    <dxf>
      <font>
        <color rgb="FF806000"/>
      </font>
      <fill>
        <patternFill patternType="solid">
          <fgColor indexed="64"/>
          <bgColor rgb="FFFFF2CC"/>
        </patternFill>
      </fill>
    </dxf>
    <dxf>
      <font>
        <color rgb="FFC65911"/>
      </font>
      <fill>
        <patternFill patternType="solid">
          <fgColor indexed="64"/>
          <bgColor rgb="FFFCE4D6"/>
        </patternFill>
      </fill>
    </dxf>
    <dxf>
      <font>
        <color rgb="FF9C0006"/>
      </font>
      <fill>
        <patternFill patternType="solid">
          <fgColor indexed="64"/>
          <bgColor rgb="FFFFC7CE"/>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3" formatCode="#,##0"/>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i val="0"/>
        <strike val="0"/>
        <condense val="0"/>
        <extend val="0"/>
        <outline val="0"/>
        <shadow val="0"/>
        <u val="none"/>
        <vertAlign val="baseline"/>
        <sz val="11"/>
        <color rgb="FFFFFFFF"/>
        <name val="Calibri"/>
        <family val="2"/>
        <scheme val="minor"/>
      </font>
      <fill>
        <patternFill patternType="solid">
          <fgColor indexed="64"/>
          <bgColor rgb="FF548235"/>
        </patternFill>
      </fill>
      <alignment horizontal="center" vertical="bottom" textRotation="0" wrapText="0" indent="0" justifyLastLine="0" shrinkToFit="0" readingOrder="0"/>
    </dxf>
    <dxf>
      <font>
        <color rgb="FF9C0006"/>
      </font>
      <fill>
        <patternFill patternType="solid">
          <fgColor indexed="64"/>
          <bgColor rgb="FFFFC7CE"/>
        </patternFill>
      </fill>
    </dxf>
    <dxf>
      <font>
        <color rgb="FF006100"/>
      </font>
      <fill>
        <patternFill patternType="solid">
          <fgColor indexed="64"/>
          <bgColor rgb="FFC6EFCE"/>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3" formatCode="#,##0"/>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i val="0"/>
        <strike val="0"/>
        <condense val="0"/>
        <extend val="0"/>
        <outline val="0"/>
        <shadow val="0"/>
        <u val="none"/>
        <vertAlign val="baseline"/>
        <sz val="11"/>
        <color rgb="FFFFFFFF"/>
        <name val="Calibri"/>
        <family val="2"/>
        <scheme val="minor"/>
      </font>
      <fill>
        <patternFill patternType="solid">
          <fgColor indexed="64"/>
          <bgColor rgb="FF3A414F"/>
        </patternFill>
      </fill>
      <alignment horizontal="center" vertical="bottom" textRotation="0" wrapText="0" indent="0" justifyLastLine="0" shrinkToFit="0" readingOrder="0"/>
    </dxf>
    <dxf>
      <font>
        <color rgb="FF9C0006"/>
      </font>
      <fill>
        <patternFill patternType="solid">
          <fgColor indexed="64"/>
          <bgColor rgb="FFFFC7CE"/>
        </patternFill>
      </fill>
    </dxf>
    <dxf>
      <font>
        <color rgb="FF006100"/>
      </font>
      <fill>
        <patternFill patternType="solid">
          <fgColor indexed="64"/>
          <bgColor rgb="FFC6EFCE"/>
        </patternFill>
      </fill>
    </dxf>
    <dxf>
      <font>
        <color rgb="FF1F4E79"/>
      </font>
      <fill>
        <patternFill patternType="solid">
          <fgColor indexed="64"/>
          <bgColor rgb="FFDDEBF7"/>
        </patternFill>
      </fill>
    </dxf>
    <dxf>
      <font>
        <color rgb="FF006100"/>
      </font>
      <fill>
        <patternFill patternType="solid">
          <fgColor indexed="64"/>
          <bgColor rgb="FFC6EFCE"/>
        </patternFill>
      </fill>
    </dxf>
    <dxf>
      <font>
        <color rgb="FF375623"/>
      </font>
      <fill>
        <patternFill patternType="solid">
          <fgColor indexed="64"/>
          <bgColor rgb="FFE2EFDA"/>
        </patternFill>
      </fill>
    </dxf>
    <dxf>
      <font>
        <color rgb="FF806000"/>
      </font>
      <fill>
        <patternFill patternType="solid">
          <fgColor indexed="64"/>
          <bgColor rgb="FFFFF2CC"/>
        </patternFill>
      </fill>
    </dxf>
    <dxf>
      <font>
        <color rgb="FFC65911"/>
      </font>
      <fill>
        <patternFill patternType="solid">
          <fgColor indexed="64"/>
          <bgColor rgb="FFFCE4D6"/>
        </patternFill>
      </fill>
    </dxf>
    <dxf>
      <font>
        <color rgb="FF9C0006"/>
      </font>
      <fill>
        <patternFill patternType="solid">
          <fgColor indexed="64"/>
          <bgColor rgb="FFFFC7CE"/>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numFmt numFmtId="164" formatCode="yyyy\-mm\-dd"/>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val="0"/>
        <i val="0"/>
        <strike val="0"/>
        <condense val="0"/>
        <extend val="0"/>
        <outline val="0"/>
        <shadow val="0"/>
        <u val="none"/>
        <vertAlign val="baseline"/>
        <sz val="11"/>
        <color rgb="FF0000FF"/>
        <name val="Calibri"/>
        <family val="2"/>
        <scheme val="minor"/>
      </font>
      <fill>
        <patternFill patternType="solid">
          <fgColor indexed="64"/>
          <bgColor rgb="FFE6F0FA"/>
        </patternFill>
      </fill>
    </dxf>
    <dxf>
      <font>
        <b/>
        <i val="0"/>
        <strike val="0"/>
        <condense val="0"/>
        <extend val="0"/>
        <outline val="0"/>
        <shadow val="0"/>
        <u val="none"/>
        <vertAlign val="baseline"/>
        <sz val="11"/>
        <color rgb="FFFFFFFF"/>
        <name val="Calibri"/>
        <family val="2"/>
        <scheme val="minor"/>
      </font>
      <fill>
        <patternFill patternType="solid">
          <fgColor indexed="64"/>
          <bgColor rgb="FF7C7871"/>
        </patternFill>
      </fill>
      <alignment horizontal="cent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eetMetadata" Target="metadata.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0B713B5-6AAA-4F99-A5B4-E208626AE0CD}" name="TableEntities" displayName="TableEntities" ref="A4:N9" totalsRowShown="0" headerRowDxfId="399" dataDxfId="398">
  <autoFilter ref="A4:N9" xr:uid="{50B713B5-6AAA-4F99-A5B4-E208626AE0CD}"/>
  <tableColumns count="14">
    <tableColumn id="1" xr3:uid="{02707D9C-29D1-48A5-8D30-F188BFDAC07D}" name="entity_id" dataDxfId="397"/>
    <tableColumn id="2" xr3:uid="{4C6D4B6F-EDC9-4E15-9DE5-1BB2E3C5154F}" name="canonical_name" dataDxfId="396"/>
    <tableColumn id="3" xr3:uid="{B422056D-5F2E-4D32-B3C4-F5AC322CD257}" name="legal_name" dataDxfId="395"/>
    <tableColumn id="4" xr3:uid="{6D890407-5C01-4B7F-A05C-B724301196A4}" name="entity_type" dataDxfId="394"/>
    <tableColumn id="5" xr3:uid="{35016399-6EAD-47B9-9137-1C096955F50E}" name="track_origin" dataDxfId="393"/>
    <tableColumn id="6" xr3:uid="{F574B580-F4B8-4B62-89ED-BFC792130499}" name="parent_entity_id" dataDxfId="392"/>
    <tableColumn id="7" xr3:uid="{255ABBB3-EB95-467A-9E5E-98E7416000A9}" name="status" dataDxfId="391"/>
    <tableColumn id="8" xr3:uid="{BD37CA8B-9C18-4356-884A-06CB3253EBFC}" name="industry_module" dataDxfId="390"/>
    <tableColumn id="9" xr3:uid="{38F8AF75-D4E0-4848-839B-B7CABB9753B2}" name="qbe_class_or_company" dataDxfId="389"/>
    <tableColumn id="10" xr3:uid="{09DA220B-756C-4396-B9AA-41963D2ACBE6}" name="portfolio_id" dataDxfId="388"/>
    <tableColumn id="11" xr3:uid="{0CBEAD12-DCE3-4790-B159-F29F6A8BDF8A}" name="coo_owner" dataDxfId="387"/>
    <tableColumn id="12" xr3:uid="{F96A8031-E01B-4902-A774-7C8DD44E5795}" name="board_lead" dataDxfId="386"/>
    <tableColumn id="13" xr3:uid="{C60EF8F3-86E8-43CC-B4E3-A9CDC7ECC10E}" name="close_date" dataDxfId="385"/>
    <tableColumn id="14" xr3:uid="{08078D5A-4477-42AF-9DF0-180CDF8D4B15}" name="notes" dataDxfId="38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D2CA23A-1D90-476F-885D-3B5AE144F0D1}" name="TablePipeline" displayName="TablePipeline" ref="A7:S12" totalsRowShown="0" headerRowDxfId="375" dataDxfId="374">
  <autoFilter ref="A7:S12" xr:uid="{9D2CA23A-1D90-476F-885D-3B5AE144F0D1}"/>
  <tableColumns count="19">
    <tableColumn id="1" xr3:uid="{AE22FFD9-CDA5-4F6E-9B31-4DA11E0ED58D}" name="Lead ID" dataDxfId="373"/>
    <tableColumn id="2" xr3:uid="{D09B2DBE-6216-4C7C-815A-5DD3E3C7720E}" name="Added Date" dataDxfId="372"/>
    <tableColumn id="3" xr3:uid="{D848B062-1CEB-4516-ADE9-3D5E6832EB40}" name="Company" dataDxfId="371"/>
    <tableColumn id="4" xr3:uid="{6E3BF1F8-7469-4C7C-8013-F79EEF7B819D}" name="Website" dataDxfId="370"/>
    <tableColumn id="5" xr3:uid="{7E8CC8F8-64F1-4F32-AC82-1262D55BE696}" name="Sector" dataDxfId="369"/>
    <tableColumn id="6" xr3:uid="{CB01998A-5A0B-415A-B974-DCE332ACEE9D}" name="Source" dataDxfId="368"/>
    <tableColumn id="7" xr3:uid="{697F2D7C-11C3-4CE2-BF7E-83AF8DB6F271}" name="Source Detail" dataDxfId="367"/>
    <tableColumn id="8" xr3:uid="{99D65817-D663-4EAF-BBF0-2C81FF48C3DE}" name="Pipeline Stage" dataDxfId="366"/>
    <tableColumn id="9" xr3:uid="{8CB49ACC-251F-4CD3-B439-86E7F3A4601E}" name="Priority" dataDxfId="365"/>
    <tableColumn id="10" xr3:uid="{49A2454C-21EF-47F7-AEA7-3C6086F2CE47}" name="Owner" dataDxfId="364"/>
    <tableColumn id="11" xr3:uid="{5E497CA1-1A15-4723-92C9-6332BB5672E4}" name="Next Action" dataDxfId="363"/>
    <tableColumn id="12" xr3:uid="{D8B8E8DC-4433-43E8-91AD-DE5192CCCA3F}" name="Next Action Date" dataDxfId="362"/>
    <tableColumn id="13" xr3:uid="{9057C9A6-B9DA-4550-BE2A-1483824918A1}" name="Thesis Fit" dataDxfId="361"/>
    <tableColumn id="14" xr3:uid="{31970226-09A9-472E-8751-8DE4F3BC7836}" name="Raise Stage" dataDxfId="360"/>
    <tableColumn id="15" xr3:uid="{6510A32B-2B28-4547-AC08-7362D8585BA5}" name="Check Size ($k)" dataDxfId="359"/>
    <tableColumn id="16" xr3:uid="{CDCA780A-D933-45AA-A490-B4957C9EDDA6}" name="Location" dataDxfId="358"/>
    <tableColumn id="17" xr3:uid="{7695E889-D8F2-4E08-A499-28CBA12DD317}" name="Last Touch" dataDxfId="357"/>
    <tableColumn id="18" xr3:uid="{449CC891-5928-4E09-B6BF-3D1174220AEC}" name="Score (1-5)" dataDxfId="356"/>
    <tableColumn id="19" xr3:uid="{92E2BAAE-7345-4963-B799-974294B18FE5}" name="Notes" dataDxfId="35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57B8B74-CF57-4492-BF88-6BB07384D88A}" name="TablePipelineClosed" displayName="TablePipelineClosed" ref="A6:T8" totalsRowShown="0" headerRowDxfId="352" dataDxfId="351">
  <autoFilter ref="A6:T8" xr:uid="{957B8B74-CF57-4492-BF88-6BB07384D88A}"/>
  <tableColumns count="20">
    <tableColumn id="1" xr3:uid="{32BF0873-FCCB-4BEC-981E-287225BC7C40}" name="Lead ID" dataDxfId="350"/>
    <tableColumn id="2" xr3:uid="{F4E4A48C-19ED-4BBD-B5F9-96DDEBC5D4B0}" name="Added Date" dataDxfId="349"/>
    <tableColumn id="3" xr3:uid="{7AB2D371-0753-46C0-B6B6-B76105712593}" name="Company" dataDxfId="348"/>
    <tableColumn id="4" xr3:uid="{A3D959D2-216D-41DD-AD0F-B2A8E31D7107}" name="Website" dataDxfId="347"/>
    <tableColumn id="5" xr3:uid="{1173212A-85FB-47E9-9DF1-03C2BF2FB788}" name="Sector" dataDxfId="346"/>
    <tableColumn id="6" xr3:uid="{A9390C6A-DB23-4525-8449-A636010FFA9C}" name="Source" dataDxfId="345"/>
    <tableColumn id="7" xr3:uid="{AFD07B6E-6522-4562-BECC-A46B70E95799}" name="Source Detail" dataDxfId="344"/>
    <tableColumn id="8" xr3:uid="{C6B450E0-8A5E-4C35-9F9D-491D9E65F3DC}" name="Final Stage" dataDxfId="343"/>
    <tableColumn id="9" xr3:uid="{E5CF44FE-BDD2-422F-ADB9-5206E2651868}" name="Priority" dataDxfId="342"/>
    <tableColumn id="10" xr3:uid="{D7F5D6ED-645A-4086-964A-05881AA4D2A4}" name="Owner" dataDxfId="341"/>
    <tableColumn id="11" xr3:uid="{96CC03EC-88A0-43C9-93E4-D7EAF75EB480}" name="Thesis Fit" dataDxfId="340"/>
    <tableColumn id="12" xr3:uid="{6DA5B0D1-A743-4B00-AB23-381E97BA00D2}" name="Raise Stage" dataDxfId="339"/>
    <tableColumn id="13" xr3:uid="{10EF65E3-66B9-4356-9174-49F8B2AFE916}" name="Check Size ($k)" dataDxfId="338"/>
    <tableColumn id="14" xr3:uid="{54B69E3A-64A8-45FA-BFD2-638D11C52501}" name="Location" dataDxfId="337"/>
    <tableColumn id="15" xr3:uid="{8C3A3977-6DEB-4C72-9236-A70901E79EF8}" name="Score (1-5)" dataDxfId="336"/>
    <tableColumn id="16" xr3:uid="{FBE36354-A314-4F08-BD26-DA66E8494B25}" name="Outcome" dataDxfId="335"/>
    <tableColumn id="17" xr3:uid="{73525F3E-5F9E-4313-BBBB-0AAC59EA458E}" name="Outcome Reason" dataDxfId="334"/>
    <tableColumn id="18" xr3:uid="{19909B75-45FE-40BE-9400-D88D268FAC75}" name="Date Closed" dataDxfId="333"/>
    <tableColumn id="19" xr3:uid="{253C4D30-7FCF-4E02-B6FB-43AE3C948185}" name="Closed By" dataDxfId="332"/>
    <tableColumn id="20" xr3:uid="{6BFC40FA-379F-41A6-A19E-D88C1FF14D99}" name="Notes" dataDxfId="331"/>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29467E9-5321-4118-A230-7FB80B365BF1}" name="TableLeadTasks" displayName="TableLeadTasks" ref="A6:L10" totalsRowShown="0" headerRowDxfId="324" dataDxfId="323">
  <autoFilter ref="A6:L10" xr:uid="{C29467E9-5321-4118-A230-7FB80B365BF1}"/>
  <tableColumns count="12">
    <tableColumn id="1" xr3:uid="{E4C2EA7F-BB73-4134-B3D3-B36D40F5A033}" name="Task ID" dataDxfId="322"/>
    <tableColumn id="2" xr3:uid="{871AB853-E77B-4FBC-B3DC-756018693B17}" name="Added Date" dataDxfId="321"/>
    <tableColumn id="3" xr3:uid="{A0AA4DB1-455A-4599-B584-095F3426620A}" name="Company" dataDxfId="320"/>
    <tableColumn id="4" xr3:uid="{E1596898-A4EA-429F-8940-5B8282B6729B}" name="Lead ID" dataDxfId="319"/>
    <tableColumn id="5" xr3:uid="{01D1BCDC-9C5E-4C46-8F27-6CEB5B313B67}" name="Process Stage" dataDxfId="318"/>
    <tableColumn id="6" xr3:uid="{19E351C1-8178-4975-A1E0-668EAB494B18}" name="Task" dataDxfId="317"/>
    <tableColumn id="7" xr3:uid="{130DE98D-F8C0-42D1-9B91-17522B256085}" name="Priority" dataDxfId="316"/>
    <tableColumn id="8" xr3:uid="{86DE9DB0-1552-45DF-A75E-3DEC035F49B0}" name="Status" dataDxfId="315"/>
    <tableColumn id="9" xr3:uid="{76938AF9-23FF-458A-9BCB-9B611B16D920}" name="Owner" dataDxfId="314"/>
    <tableColumn id="10" xr3:uid="{8F6639DB-9104-4935-8A75-3C42161D3E28}" name="Due Date" dataDxfId="313"/>
    <tableColumn id="11" xr3:uid="{3233E15D-C05A-4AB0-9BB5-ED75A21B712A}" name="Notes" dataDxfId="312"/>
    <tableColumn id="12" xr3:uid="{5E83EE37-13B1-484E-A867-EF0A9E8612DB}" name="Evidence / Link" dataDxfId="31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2D1C5AC-9D1A-4BD2-8083-548096260A3A}" name="TableLeadTasksDone" displayName="TableLeadTasksDone" ref="A6:N7" totalsRowShown="0" headerRowDxfId="310" dataDxfId="309">
  <autoFilter ref="A6:N7" xr:uid="{92D1C5AC-9D1A-4BD2-8083-548096260A3A}"/>
  <tableColumns count="14">
    <tableColumn id="1" xr3:uid="{3C1BBF69-CBF2-47C2-91EA-724D716EFB5A}" name="Task ID" dataDxfId="308"/>
    <tableColumn id="2" xr3:uid="{9DA64B17-1122-4D8E-B7DE-A743D142FDD2}" name="Added Date" dataDxfId="307"/>
    <tableColumn id="3" xr3:uid="{CB657126-B8EF-47DA-AC34-6918F99B03EB}" name="Company" dataDxfId="306"/>
    <tableColumn id="4" xr3:uid="{CD062318-3FE1-4ED6-994E-41E02917CFEF}" name="Lead ID" dataDxfId="305"/>
    <tableColumn id="5" xr3:uid="{EEB5A817-A86C-4201-9A27-D456D52D861B}" name="Process Stage" dataDxfId="304"/>
    <tableColumn id="6" xr3:uid="{269506C9-6902-4E2B-A6C0-C9D7D9922662}" name="Task" dataDxfId="303"/>
    <tableColumn id="7" xr3:uid="{A61F0CF2-3D03-4E86-8C7F-F2B051FFB586}" name="Priority" dataDxfId="302"/>
    <tableColumn id="8" xr3:uid="{4D2AA9E3-D592-4994-9FD9-E1531CFA9257}" name="Status" dataDxfId="301"/>
    <tableColumn id="9" xr3:uid="{EA3CA001-EB76-4597-AA43-DCE8890B60A7}" name="Owner" dataDxfId="300"/>
    <tableColumn id="10" xr3:uid="{E9361F67-2751-4AA5-8B14-B15E56988524}" name="Due Date" dataDxfId="299"/>
    <tableColumn id="11" xr3:uid="{9B4C9FC9-3F13-4308-BA35-846849B58A8D}" name="Notes" dataDxfId="298"/>
    <tableColumn id="12" xr3:uid="{31F57D06-9E51-4BA6-B3C8-8EC9098F5058}" name="Evidence / Link" dataDxfId="297"/>
    <tableColumn id="13" xr3:uid="{8C16F890-3431-4F27-A975-67BC9A7A53B7}" name="Date Completed" dataDxfId="296"/>
    <tableColumn id="14" xr3:uid="{77EF5C81-4838-4C61-8197-EFB9FA58DC98}" name="Completed By" dataDxfId="295"/>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D47A869-3626-4306-A75F-AD8735059145}" name="TableLeadProcess" displayName="TableLeadProcess" ref="A4:F34" totalsRowShown="0" headerRowDxfId="294">
  <autoFilter ref="A4:F34" xr:uid="{0D47A869-3626-4306-A75F-AD8735059145}"/>
  <tableColumns count="6">
    <tableColumn id="1" xr3:uid="{256027DD-8E80-404F-B950-85F1A6B8993B}" name="Lib ID"/>
    <tableColumn id="2" xr3:uid="{744D9D64-7512-4148-8BDA-6141AE8D7AA4}" name="Process Stage"/>
    <tableColumn id="3" xr3:uid="{BD91DE0F-8D25-410C-81A2-9C2F67B3805B}" name="Task" dataDxfId="293"/>
    <tableColumn id="4" xr3:uid="{103D8789-1FA1-4AA1-8C45-955FB09B691B}" name="Default Priority" dataDxfId="292"/>
    <tableColumn id="5" xr3:uid="{80A9EC6E-3A9B-467E-BC8D-7171CE8EDCEF}" name="Owner Role" dataDxfId="291"/>
    <tableColumn id="6" xr3:uid="{FA77335D-296D-4333-BC3F-7C229BB5215D}" name="What Good Looks Like" dataDxfId="29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5777E1-E0FD-4911-A6E0-5C256B4A3D53}" name="TableActive" displayName="TableActive" ref="A7:L13" totalsRowShown="0" headerRowDxfId="281" dataDxfId="280">
  <autoFilter ref="A7:L13" xr:uid="{565777E1-E0FD-4911-A6E0-5C256B4A3D53}"/>
  <tableColumns count="12">
    <tableColumn id="1" xr3:uid="{32B46485-F820-425E-B89A-79C7CFF0979B}" name="ID" dataDxfId="279"/>
    <tableColumn id="2" xr3:uid="{11975050-52A5-4C70-BE69-11A3F6F7D90B}" name="Added Date" dataDxfId="278"/>
    <tableColumn id="3" xr3:uid="{D27F2772-4DAD-4AF4-B363-0AED85CEC335}" name="Entity" dataDxfId="277"/>
    <tableColumn id="4" xr3:uid="{3E43C61E-4D00-401D-9BC0-AD4E13EA330F}" name="Category" dataDxfId="276"/>
    <tableColumn id="5" xr3:uid="{42CC45B2-6856-4F1F-80F4-B5F01DBF57C2}" name="Checklist Item" dataDxfId="275"/>
    <tableColumn id="6" xr3:uid="{8304BC6F-8249-4947-BB35-F50CAC8C9B29}" name="Priority" dataDxfId="274"/>
    <tableColumn id="7" xr3:uid="{ECB522D3-BDA5-444C-A58D-A033E59317A5}" name="Status" dataDxfId="273"/>
    <tableColumn id="8" xr3:uid="{37EA7225-0BAE-476D-8597-71A009BD68F0}" name="Owner" dataDxfId="272"/>
    <tableColumn id="9" xr3:uid="{A9DF943C-7C5F-435F-8206-9B7B72012010}" name="Due Date" dataDxfId="271"/>
    <tableColumn id="10" xr3:uid="{48060313-D606-42BD-B35B-94F8D9814E58}" name="Deal Stage" dataDxfId="270"/>
    <tableColumn id="11" xr3:uid="{1F253200-EF69-45B8-BCB8-F0585F63E509}" name="Notes" dataDxfId="269"/>
    <tableColumn id="12" xr3:uid="{1E9B1FE8-A034-4238-8306-83C49FC668D7}" name="Evidence / Link" dataDxfId="26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EE6F85-CCC3-493E-96C7-AC87B21C84AA}" name="TableCompleted" displayName="TableCompleted" ref="A6:N7" totalsRowShown="0" headerRowDxfId="267" dataDxfId="266">
  <autoFilter ref="A6:N7" xr:uid="{D0EE6F85-CCC3-493E-96C7-AC87B21C84AA}"/>
  <tableColumns count="14">
    <tableColumn id="1" xr3:uid="{6B35CCC5-E6BC-4AE0-AA90-38214F7AE86F}" name="ID" dataDxfId="265"/>
    <tableColumn id="2" xr3:uid="{09233D65-9FE3-4C01-9405-A18908FAE45E}" name="Added Date" dataDxfId="264"/>
    <tableColumn id="3" xr3:uid="{A3115521-279A-4B95-A4AD-1264DC2CE240}" name="Entity" dataDxfId="263"/>
    <tableColumn id="4" xr3:uid="{A7826303-4418-410E-B1D2-011F83899B0C}" name="Category" dataDxfId="262"/>
    <tableColumn id="5" xr3:uid="{9E5C78FE-395B-4A7A-B366-EC8C3ECE919D}" name="Checklist Item" dataDxfId="261"/>
    <tableColumn id="6" xr3:uid="{BA9A01A8-13DD-4111-AECA-F30C356C3673}" name="Priority" dataDxfId="260"/>
    <tableColumn id="7" xr3:uid="{7CC3987C-6D86-44A4-B5D7-CE6C2012BFA6}" name="Status" dataDxfId="259"/>
    <tableColumn id="8" xr3:uid="{804CAB35-9379-4EB5-AEDF-3386E9ECDF31}" name="Owner" dataDxfId="258"/>
    <tableColumn id="9" xr3:uid="{3B30889F-C779-46A9-B86B-D3EDB42076AA}" name="Due Date" dataDxfId="257"/>
    <tableColumn id="10" xr3:uid="{B4906D0E-4CA7-4056-BDD3-D8EA166C2811}" name="Deal Stage" dataDxfId="256"/>
    <tableColumn id="11" xr3:uid="{E0E6CD4F-994E-450C-A452-3E29E2A0C134}" name="Notes" dataDxfId="255"/>
    <tableColumn id="12" xr3:uid="{F88D3693-5AE4-46D3-B704-D0E577D84BF0}" name="Evidence / Link" dataDxfId="254"/>
    <tableColumn id="13" xr3:uid="{0CB72382-C455-4339-AA91-82517111C55A}" name="Date Completed" dataDxfId="253"/>
    <tableColumn id="14" xr3:uid="{A24A0617-A3E0-4BE0-A8D0-29AB88AAC31E}" name="Completed By" dataDxfId="252"/>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A76C26-18C0-42B6-A0EA-CD754D789F12}" name="TableLibrary" displayName="TableLibrary" ref="A4:F52" totalsRowShown="0" headerRowDxfId="251">
  <autoFilter ref="A4:F52" xr:uid="{1BA76C26-18C0-42B6-A0EA-CD754D789F12}"/>
  <tableColumns count="6">
    <tableColumn id="1" xr3:uid="{2EE302E5-9F7C-427C-A139-51839328B7DA}" name="Lib ID"/>
    <tableColumn id="2" xr3:uid="{A2A0E028-87FB-43F7-AF68-5D7549B7338C}" name="Category"/>
    <tableColumn id="3" xr3:uid="{19CC13DC-BE5C-4967-99A0-F616D6E69EED}" name="Checklist Item" dataDxfId="250"/>
    <tableColumn id="4" xr3:uid="{53005D88-A3EE-4199-9442-2C8495ABDDAB}" name="Default Priority" dataDxfId="249"/>
    <tableColumn id="5" xr3:uid="{D7199815-0C6F-4B2C-AD6C-EC740E8BF610}" name="Typical Stages" dataDxfId="248"/>
    <tableColumn id="6" xr3:uid="{755F8F95-47C2-42BE-9906-4AC59816CB1E}" name="What Good Looks Like / Notes" dataDxfId="247"/>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2CFE99B-40B7-4100-A4CC-8EBF24FC354B}" name="TableDeal" displayName="TableDeal" ref="A7:S9" totalsRowShown="0" headerRowDxfId="242" dataDxfId="241">
  <autoFilter ref="A7:S9" xr:uid="{42CFE99B-40B7-4100-A4CC-8EBF24FC354B}"/>
  <tableColumns count="19">
    <tableColumn id="1" xr3:uid="{C594B36E-CC73-40C1-85CB-ACAE2A4CB2F2}" name="Deal ID" dataDxfId="240"/>
    <tableColumn id="2" xr3:uid="{33B09907-F231-43D8-8D2B-6F82C0B84CA9}" name="Added Date" dataDxfId="239"/>
    <tableColumn id="3" xr3:uid="{95DDE2DF-0251-4CA8-AB5C-299EC8498BAD}" name="Company" dataDxfId="238"/>
    <tableColumn id="4" xr3:uid="{811F61B5-5F48-4E5A-B2FC-18E1993A3F85}" name="Lead ID" dataDxfId="237"/>
    <tableColumn id="5" xr3:uid="{93F81AFA-74BE-42DA-BA44-296DB3D1E47F}" name="Execution Stage" dataDxfId="236"/>
    <tableColumn id="6" xr3:uid="{3A0D14A2-AD95-40C9-B44D-D0810462A77B}" name="Priority" dataDxfId="235"/>
    <tableColumn id="7" xr3:uid="{CE35F882-AD38-4475-82CF-5F524FD837FB}" name="Owner" dataDxfId="234"/>
    <tableColumn id="8" xr3:uid="{5BAA859A-2FAA-4F6D-9A6B-B59829EAEE5E}" name="Counsel" dataDxfId="233"/>
    <tableColumn id="9" xr3:uid="{8D4CA206-9681-455F-94CE-33EB436767AF}" name="Instrument" dataDxfId="232"/>
    <tableColumn id="10" xr3:uid="{563CA3C8-DD0C-4DCC-A875-3349CDACA760}" name="Pre-Money ($m)" dataDxfId="231"/>
    <tableColumn id="11" xr3:uid="{5E27ABFD-2A3E-4DE5-92CA-08DEB97E5DF3}" name="Check Size ($k)" dataDxfId="230"/>
    <tableColumn id="12" xr3:uid="{B7B6A467-D81F-4AFE-B187-964BB3BA00D2}" name="Target Own %" dataDxfId="229"/>
    <tableColumn id="13" xr3:uid="{7DED82EC-2D3E-4BAB-93FC-1D04B51DF070}" name="TS Sent Date" dataDxfId="228"/>
    <tableColumn id="14" xr3:uid="{332D3D1D-D750-445D-9FF5-6C7283FC5881}" name="TS Signed Date" dataDxfId="227"/>
    <tableColumn id="15" xr3:uid="{DDFAA6DE-A9AF-4B11-A145-FEE702C934F9}" name="Exclusivity End" dataDxfId="226"/>
    <tableColumn id="16" xr3:uid="{2A60361A-D3C2-404A-9D82-0BF55A6DF362}" name="Target Close" dataDxfId="225"/>
    <tableColumn id="17" xr3:uid="{FC5B302E-4C9C-4BF0-B1BE-F672F1313563}" name="Next Action" dataDxfId="224"/>
    <tableColumn id="18" xr3:uid="{245BD885-0A42-41AA-AB10-70C2AA0E023D}" name="Next Action Date" dataDxfId="223"/>
    <tableColumn id="19" xr3:uid="{0298A352-F097-4E4D-9936-AB138BBD8D7F}" name="Notes" dataDxfId="22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CCE9EDC-30AD-4243-ADD1-8896D4B6D928}" name="TableDealClosed" displayName="TableDealClosed" ref="A6:O7" totalsRowShown="0" headerRowDxfId="219" dataDxfId="218">
  <autoFilter ref="A6:O7" xr:uid="{6CCE9EDC-30AD-4243-ADD1-8896D4B6D928}"/>
  <tableColumns count="15">
    <tableColumn id="1" xr3:uid="{7C4A1E95-710C-4087-ADF3-3E70CB5A23EC}" name="Deal ID" dataDxfId="217"/>
    <tableColumn id="2" xr3:uid="{6A3C3ADC-8FDD-4C7E-9D3C-B433C1F1DD36}" name="Added Date" dataDxfId="216"/>
    <tableColumn id="3" xr3:uid="{A3828E37-0513-4134-90FE-24D2E47CBCC5}" name="Company" dataDxfId="215"/>
    <tableColumn id="4" xr3:uid="{D9CD98DE-E299-4827-A01A-AAE62E217A71}" name="Lead ID" dataDxfId="214"/>
    <tableColumn id="5" xr3:uid="{7C6E912B-13E7-4EE0-924D-3ACA0AEAB493}" name="Final Stage" dataDxfId="213"/>
    <tableColumn id="6" xr3:uid="{F816D5B6-AA8B-4361-B993-7EAC405D71FD}" name="Instrument" dataDxfId="212"/>
    <tableColumn id="7" xr3:uid="{B50451FC-07B0-4057-90F4-40B61AB1E22D}" name="Pre-Money ($m)" dataDxfId="211"/>
    <tableColumn id="8" xr3:uid="{40C65636-6030-4485-B729-3E005FFF59F1}" name="Check Size ($k)" dataDxfId="210"/>
    <tableColumn id="9" xr3:uid="{5B792063-D2E7-4EAA-958A-4C7BD359C999}" name="Final Own %" dataDxfId="209"/>
    <tableColumn id="10" xr3:uid="{99CE11BB-22F0-43DF-AC51-0537A21672A9}" name="TS Signed Date" dataDxfId="208"/>
    <tableColumn id="11" xr3:uid="{3A6F2ED0-4169-4C22-86C9-6BEE29CEABC6}" name="Close Date" dataDxfId="207"/>
    <tableColumn id="12" xr3:uid="{CE690B1E-582A-4E62-BBBA-6C3988E473AF}" name="Outcome" dataDxfId="206"/>
    <tableColumn id="13" xr3:uid="{E7934DE2-BC4F-443C-8012-7A3B6FE07264}" name="Outcome Reason" dataDxfId="205"/>
    <tableColumn id="14" xr3:uid="{B2CB4636-E224-4E22-B0FB-5B225FB84C8E}" name="Owner" dataDxfId="204"/>
    <tableColumn id="15" xr3:uid="{3C4C8993-31B4-4211-BB6C-D70E59B5F7C8}" name="Notes" dataDxfId="203"/>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51F1097-9780-46B2-B55D-5165F2716CC5}" name="TableDealTasks" displayName="TableDealTasks" ref="A6:L9" totalsRowShown="0" headerRowDxfId="198" dataDxfId="197">
  <autoFilter ref="A6:L9" xr:uid="{E51F1097-9780-46B2-B55D-5165F2716CC5}"/>
  <tableColumns count="12">
    <tableColumn id="1" xr3:uid="{A7222F1F-62AE-4C10-B4A5-BAE476CA46C3}" name="Task ID" dataDxfId="196"/>
    <tableColumn id="2" xr3:uid="{4BA2573D-483F-4391-BC84-BFC89F3CD9A8}" name="Added Date" dataDxfId="195"/>
    <tableColumn id="3" xr3:uid="{B1602E0D-8311-40DA-AE6C-A4CC3EE95F21}" name="Company" dataDxfId="194"/>
    <tableColumn id="4" xr3:uid="{5ECCB93D-EBB7-4276-9520-9B213087B0FF}" name="Deal ID" dataDxfId="193"/>
    <tableColumn id="5" xr3:uid="{F7027751-6DC7-4B17-AE3B-8E9C7734E657}" name="Process Stage" dataDxfId="192"/>
    <tableColumn id="6" xr3:uid="{71F6ACA3-FE2F-4415-A5D2-234E7064D783}" name="Task" dataDxfId="191"/>
    <tableColumn id="7" xr3:uid="{B452331E-00F1-430C-A902-9B5657477DD5}" name="Priority" dataDxfId="190"/>
    <tableColumn id="8" xr3:uid="{758D8565-4F79-4144-A720-64F0BD032BF1}" name="Status" dataDxfId="189"/>
    <tableColumn id="9" xr3:uid="{25D2AF3F-24E3-498E-A756-7D5A05551E55}" name="Owner" dataDxfId="188"/>
    <tableColumn id="10" xr3:uid="{07558951-6EC5-42C4-9BB4-6B82D04052D9}" name="Due Date" dataDxfId="187"/>
    <tableColumn id="11" xr3:uid="{FB109711-C340-4FDB-9D1B-F0BC63C4CE7E}" name="Notes" dataDxfId="186"/>
    <tableColumn id="12" xr3:uid="{7026C8D5-D2F4-4812-B257-A9431A7C6744}" name="Evidence / Link" dataDxfId="185"/>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1B35CBE-30E8-49B3-8B63-D8668ADDE78B}" name="TableDealTasksDone" displayName="TableDealTasksDone" ref="A6:N7" totalsRowShown="0" headerRowDxfId="184" dataDxfId="183">
  <autoFilter ref="A6:N7" xr:uid="{D1B35CBE-30E8-49B3-8B63-D8668ADDE78B}"/>
  <tableColumns count="14">
    <tableColumn id="1" xr3:uid="{AF1187F5-A7C8-4750-A2D2-6C68DAA6CB24}" name="Task ID" dataDxfId="182"/>
    <tableColumn id="2" xr3:uid="{502A5180-BD91-4E23-BD32-E0EF3B2A7683}" name="Added Date" dataDxfId="181"/>
    <tableColumn id="3" xr3:uid="{36F4F940-260C-4C07-873B-5668FF6CBBDD}" name="Company" dataDxfId="180"/>
    <tableColumn id="4" xr3:uid="{4B5C772D-FD23-42EE-A98E-CE02818ECD12}" name="Deal ID" dataDxfId="179"/>
    <tableColumn id="5" xr3:uid="{8E3ABACE-ADF5-4BD6-9222-D5D3D03B7C94}" name="Process Stage" dataDxfId="178"/>
    <tableColumn id="6" xr3:uid="{1B0C6F2C-2D88-406E-A838-2BF3094AA479}" name="Task" dataDxfId="177"/>
    <tableColumn id="7" xr3:uid="{C070AAFF-C4BD-4014-8303-0214760EA601}" name="Priority" dataDxfId="176"/>
    <tableColumn id="8" xr3:uid="{CDFB01AB-824E-43C6-82F8-FA9E1B140B12}" name="Status" dataDxfId="175"/>
    <tableColumn id="9" xr3:uid="{C349CEF3-4182-486C-9B6D-A825DF1C64BC}" name="Owner" dataDxfId="174"/>
    <tableColumn id="10" xr3:uid="{89CBC9F3-994D-44BE-A305-A4C09691B351}" name="Due Date" dataDxfId="173"/>
    <tableColumn id="11" xr3:uid="{11CA0569-EFAF-4C04-B328-3562A870354F}" name="Notes" dataDxfId="172"/>
    <tableColumn id="12" xr3:uid="{4C52AB07-95B1-4B96-9C2F-550E9C3A55D5}" name="Evidence / Link" dataDxfId="171"/>
    <tableColumn id="13" xr3:uid="{081995E2-CF6B-4EDE-B71C-DCAEE9E57896}" name="Date Completed" dataDxfId="170"/>
    <tableColumn id="14" xr3:uid="{15CE45A2-1E11-45EB-AD9D-7849EA0B5D15}" name="Completed By" dataDxfId="169"/>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BA8E29F-1640-48AA-9461-B11A7015A9DF}" name="TableDealProcess" displayName="TableDealProcess" ref="A4:F36" totalsRowShown="0" headerRowDxfId="168">
  <autoFilter ref="A4:F36" xr:uid="{8BA8E29F-1640-48AA-9461-B11A7015A9DF}"/>
  <tableColumns count="6">
    <tableColumn id="1" xr3:uid="{979C05FA-D015-4938-BD4D-E799B7960C8A}" name="Lib ID"/>
    <tableColumn id="2" xr3:uid="{402AEB04-12D0-48FE-B391-E4EAF91D848C}" name="Process Stage"/>
    <tableColumn id="3" xr3:uid="{808E1370-AF0A-4252-A5E2-23F52929A0ED}" name="Task" dataDxfId="167"/>
    <tableColumn id="4" xr3:uid="{0E76A4CB-483B-4705-946A-2C5E436466EC}" name="Default Priority" dataDxfId="166"/>
    <tableColumn id="5" xr3:uid="{5168C356-0C32-4D9B-9625-32F1434A6442}" name="Owner Role" dataDxfId="165"/>
    <tableColumn id="6" xr3:uid="{3AABBCA6-CFAD-495E-9F7B-3B4B7530CEE1}" name="What Good Looks Like" dataDxfId="16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9E3A1DD-E6B2-43A3-9EFE-CDA85145DC67}" name="TableMAPipeline" displayName="TableMAPipeline" ref="A6:R8" totalsRowShown="0" headerRowDxfId="163" dataDxfId="162">
  <autoFilter ref="A6:R8" xr:uid="{29E3A1DD-E6B2-43A3-9EFE-CDA85145DC67}"/>
  <tableColumns count="18">
    <tableColumn id="1" xr3:uid="{5E9A62C2-785C-4F23-B71A-6E8C73395C76}" name="MA ID" dataDxfId="161"/>
    <tableColumn id="2" xr3:uid="{93605EFD-2CB3-4FEB-AF81-A6FB34B3DD78}" name="Added Date" dataDxfId="160"/>
    <tableColumn id="3" xr3:uid="{F3938825-747C-4B06-90BE-2D88A8A05A3A}" name="Target Company" dataDxfId="159"/>
    <tableColumn id="4" xr3:uid="{33742310-F745-4FC0-B10F-7729B33EDFB0}" name="Website" dataDxfId="158"/>
    <tableColumn id="5" xr3:uid="{01DC8B12-7834-45D2-918B-8B1135BB97E8}" name="Sector" dataDxfId="157"/>
    <tableColumn id="6" xr3:uid="{3AE3D3B3-18FC-4456-AF30-5AB9B4606029}" name="Deal Type" dataDxfId="156"/>
    <tableColumn id="7" xr3:uid="{E63DD25F-D391-448F-A937-4E66EF6A3787}" name="Source" dataDxfId="155"/>
    <tableColumn id="8" xr3:uid="{7DA65876-2E90-4554-AA36-A7A579386E44}" name="MA Stage" dataDxfId="154"/>
    <tableColumn id="9" xr3:uid="{0BA40F28-8419-4746-B076-2056A7D08DC8}" name="Priority" dataDxfId="153"/>
    <tableColumn id="10" xr3:uid="{FCC19233-DD1A-4432-9F13-87697C6FBBF5}" name="Owner" dataDxfId="152"/>
    <tableColumn id="11" xr3:uid="{8AA08226-105C-4731-BBF9-4FD7580AF798}" name="Enterprise Value ($m)" dataDxfId="151"/>
    <tableColumn id="12" xr3:uid="{E08CD92A-E666-4588-8718-C552E4351496}" name="Revenue ($m)" dataDxfId="150"/>
    <tableColumn id="13" xr3:uid="{4E28973C-32FC-4BC3-97F0-CBD414591BD1}" name="EBITDA ($m)" dataDxfId="149"/>
    <tableColumn id="14" xr3:uid="{BDBE6BBD-4E8F-4580-ABD8-6A318EC1B121}" name="Next Action" dataDxfId="148"/>
    <tableColumn id="15" xr3:uid="{F84D2E04-7756-4B38-AE90-D3DDCD517735}" name="Next Action Date" dataDxfId="147"/>
    <tableColumn id="16" xr3:uid="{D4236B47-9057-4EFE-B5FC-914B34C11FAF}" name="Exclusivity End" dataDxfId="146"/>
    <tableColumn id="17" xr3:uid="{E030C706-7ED6-4E9C-9A5A-2330BD005CD3}" name="Strategic Fit" dataDxfId="145"/>
    <tableColumn id="18" xr3:uid="{CE6C9C3F-129B-40AB-B6C6-A6CE1942DF47}" name="Notes" dataDxfId="14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CE987F2-32C9-40FF-A31B-097249FC5F7A}" name="TableMAClosed" displayName="TableMAClosed" ref="A6:M7" totalsRowShown="0" headerRowDxfId="143" dataDxfId="142">
  <autoFilter ref="A6:M7" xr:uid="{FCE987F2-32C9-40FF-A31B-097249FC5F7A}"/>
  <tableColumns count="13">
    <tableColumn id="1" xr3:uid="{6CF0CB76-71BA-434D-885A-465AE54FE37F}" name="MA ID" dataDxfId="141"/>
    <tableColumn id="2" xr3:uid="{0C41230A-B6E3-4D34-97D8-C8326522C409}" name="Added Date" dataDxfId="140"/>
    <tableColumn id="3" xr3:uid="{6ECD41DA-3CF9-4704-9593-05C3AB8AE798}" name="Target Company" dataDxfId="139"/>
    <tableColumn id="4" xr3:uid="{E1AB418C-07E9-485E-AD26-574692C1829F}" name="Deal Type" dataDxfId="138"/>
    <tableColumn id="5" xr3:uid="{85358EC5-6A4E-4E49-BA78-9F1FA05BB7B2}" name="Final Stage" dataDxfId="137"/>
    <tableColumn id="6" xr3:uid="{B653CAAB-6C2B-4FBA-8CC4-57C3A68E39BE}" name="EV ($m)" dataDxfId="136"/>
    <tableColumn id="7" xr3:uid="{85629D11-52E1-45EF-970D-38803CDE6130}" name="Revenue ($m)" dataDxfId="135"/>
    <tableColumn id="8" xr3:uid="{43550DF4-E1F7-40DA-B7B9-8ABF34E07DEA}" name="EBITDA ($m)" dataDxfId="134"/>
    <tableColumn id="9" xr3:uid="{CE3BEFA8-78F7-4631-8ACB-03157D9FA688}" name="Outcome" dataDxfId="133"/>
    <tableColumn id="10" xr3:uid="{5C570BF6-4FE7-4318-9EE8-60B76AF68B37}" name="Outcome Reason" dataDxfId="132"/>
    <tableColumn id="11" xr3:uid="{8C705443-AB7E-4299-B7C8-4C826B3E5B6C}" name="Close Date" dataDxfId="131"/>
    <tableColumn id="12" xr3:uid="{59CE33B1-D511-46CE-BCD9-0CE9D570D136}" name="Owner" dataDxfId="130"/>
    <tableColumn id="13" xr3:uid="{DF9D6338-06FC-4D49-9D36-EA2459A574CF}" name="Notes" dataDxfId="129"/>
  </tableColumns>
  <tableStyleInfo name="TableStyleMedium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C064FB0-1113-452D-A958-5B74A0966248}" name="TableMATasks" displayName="TableMATasks" ref="A6:K8" totalsRowShown="0" headerRowDxfId="128" dataDxfId="127">
  <autoFilter ref="A6:K8" xr:uid="{3C064FB0-1113-452D-A958-5B74A0966248}"/>
  <tableColumns count="11">
    <tableColumn id="1" xr3:uid="{24404F14-76E4-4240-95B2-0EE1EC059699}" name="Task ID" dataDxfId="126"/>
    <tableColumn id="2" xr3:uid="{D08C8BE6-99EA-4D05-96BC-06431E90871C}" name="Added Date" dataDxfId="125"/>
    <tableColumn id="3" xr3:uid="{8C617F7C-A3DB-4D46-97C3-EE5410EFAFE6}" name="Target Company" dataDxfId="124"/>
    <tableColumn id="4" xr3:uid="{5B18C00C-67F2-4958-BFE1-FF6DCFBD6CFC}" name="MA ID" dataDxfId="123"/>
    <tableColumn id="5" xr3:uid="{D8BA62E5-2E8F-4766-BC44-E1FBF6CD6A35}" name="Process Stage" dataDxfId="122"/>
    <tableColumn id="6" xr3:uid="{5F529BE1-054A-432C-8C91-D1DCDD726A4E}" name="Task" dataDxfId="121"/>
    <tableColumn id="7" xr3:uid="{3C901DF2-81BC-4A5A-9F7E-64C597B1A9F7}" name="Priority" dataDxfId="120"/>
    <tableColumn id="8" xr3:uid="{7925404C-EAD0-4E56-9E76-991F566CE997}" name="Status" dataDxfId="119"/>
    <tableColumn id="9" xr3:uid="{CB29CCC9-FA9A-47F6-AD75-1BD0AAA4A1A4}" name="Owner" dataDxfId="118"/>
    <tableColumn id="10" xr3:uid="{48CD8210-3D96-426B-BCFB-74C67A518A11}" name="Due Date" dataDxfId="117"/>
    <tableColumn id="11" xr3:uid="{22A2131F-51FE-4EA1-B242-860BBF9BC1FB}" name="Notes" dataDxfId="116"/>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F2E0CB3-2E9B-407B-BC2C-83204E5C859B}" name="TableMATasksDone" displayName="TableMATasksDone" ref="A6:M7" totalsRowShown="0" headerRowDxfId="115" dataDxfId="114">
  <autoFilter ref="A6:M7" xr:uid="{8F2E0CB3-2E9B-407B-BC2C-83204E5C859B}"/>
  <tableColumns count="13">
    <tableColumn id="1" xr3:uid="{B0D080DC-381B-47FC-8099-A9D78228779D}" name="Task ID" dataDxfId="113"/>
    <tableColumn id="2" xr3:uid="{FC3F60BB-B075-4B41-9B16-4016D6FD7C0D}" name="Added Date" dataDxfId="112"/>
    <tableColumn id="3" xr3:uid="{3D4B5F5F-21E9-4D1C-83EF-9EC682F67EF6}" name="Target Company" dataDxfId="111"/>
    <tableColumn id="4" xr3:uid="{2AAC4EA1-5514-4A81-AC60-61A5FE529A07}" name="MA ID" dataDxfId="110"/>
    <tableColumn id="5" xr3:uid="{6EBC23D0-1528-4F7F-9160-FEF51C2D1B55}" name="Process Stage" dataDxfId="109"/>
    <tableColumn id="6" xr3:uid="{C9B8A3D8-A815-4DEA-9AC9-8DE1959C9E15}" name="Task" dataDxfId="108"/>
    <tableColumn id="7" xr3:uid="{588D8179-C8C4-4963-B6D2-F965A3A7C6E7}" name="Priority" dataDxfId="107"/>
    <tableColumn id="8" xr3:uid="{771C366F-9D2A-4E28-A5BE-1696F847DB58}" name="Status" dataDxfId="106"/>
    <tableColumn id="9" xr3:uid="{2E8C95FD-E7E1-483B-98EB-74D262B3B018}" name="Owner" dataDxfId="105"/>
    <tableColumn id="10" xr3:uid="{D4A6D39A-86CB-4CF0-80D4-C0EFF4E8F69C}" name="Due Date" dataDxfId="104"/>
    <tableColumn id="11" xr3:uid="{56839D6D-FC52-45CE-8F00-9D39483C0A2E}" name="Notes" dataDxfId="103"/>
    <tableColumn id="12" xr3:uid="{FEFCC1C1-CD7A-40E1-9508-513C2B721B51}" name="Date Completed" dataDxfId="102"/>
    <tableColumn id="13" xr3:uid="{2886D068-AC97-4351-AA08-4B6577BB0672}" name="Completed By" dataDxfId="101"/>
  </tableColumns>
  <tableStyleInfo name="TableStyleMedium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E5E52B1C-FBC5-4926-AD9A-B9E2758E8F61}" name="TableMAProcess" displayName="TableMAProcess" ref="A4:F28" totalsRowShown="0" headerRowDxfId="100">
  <autoFilter ref="A4:F28" xr:uid="{E5E52B1C-FBC5-4926-AD9A-B9E2758E8F61}"/>
  <tableColumns count="6">
    <tableColumn id="1" xr3:uid="{AF3836EF-66D5-4BCE-BFD4-BCA232C6A597}" name="Lib ID"/>
    <tableColumn id="2" xr3:uid="{6D2C504F-27F3-40BB-8187-17393007D246}" name="Process Stage"/>
    <tableColumn id="3" xr3:uid="{8D4E0925-39D2-48F5-9F2C-A0807CEDC145}" name="Task"/>
    <tableColumn id="4" xr3:uid="{9F61B669-663D-4C77-8B06-40185DF6D81F}" name="Default Priority"/>
    <tableColumn id="5" xr3:uid="{E0B09ABF-4FA5-4A95-9548-B9F5686FA153}" name="Owner Role"/>
    <tableColumn id="6" xr3:uid="{F8649981-927D-475E-9AC0-4AA39E372D93}" name="What Good Looks Like"/>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D1BFC5A-4F42-480B-A5FD-974243699ED2}" name="TableREPipeline" displayName="TableREPipeline" ref="A6:Q8" totalsRowShown="0" headerRowDxfId="99" dataDxfId="98">
  <autoFilter ref="A6:Q8" xr:uid="{9D1BFC5A-4F42-480B-A5FD-974243699ED2}"/>
  <tableColumns count="17">
    <tableColumn id="1" xr3:uid="{C39FBE30-D15E-4598-883A-2B4AAFE7C565}" name="RE ID" dataDxfId="97"/>
    <tableColumn id="2" xr3:uid="{843D308F-C477-49E9-B31B-E2B567363425}" name="Added Date" dataDxfId="96"/>
    <tableColumn id="3" xr3:uid="{1458060D-65A4-4918-85D4-E5B9E27A3B32}" name="Asset / Address" dataDxfId="95"/>
    <tableColumn id="4" xr3:uid="{602E167C-659B-49C2-9A7C-9BD3F59CFA03}" name="Route" dataDxfId="94"/>
    <tableColumn id="5" xr3:uid="{AF188F22-DEDB-4AF9-A079-9BC0C32E8A26}" name="Asset Type" dataDxfId="93"/>
    <tableColumn id="6" xr3:uid="{C97F111F-A92A-4C0D-9166-711BB2FC3DB1}" name="Market / City" dataDxfId="92"/>
    <tableColumn id="7" xr3:uid="{CDEB4D65-C654-420E-94E9-EC03246CF776}" name="Source" dataDxfId="91"/>
    <tableColumn id="8" xr3:uid="{AB6474AD-2C2F-428F-9D90-428BD28B85BE}" name="RE Stage" dataDxfId="90"/>
    <tableColumn id="9" xr3:uid="{1AF5CFC9-6593-4052-8C4E-44603DF926BD}" name="Priority" dataDxfId="89"/>
    <tableColumn id="10" xr3:uid="{F5B44A1A-888B-4177-B7D6-8771D9F4407C}" name="Sourcer" dataDxfId="88"/>
    <tableColumn id="11" xr3:uid="{92A93CC8-C719-4C4E-A5F0-939FF00BD2FD}" name="Ask Price ($k)" dataDxfId="87"/>
    <tableColumn id="12" xr3:uid="{F3C13DD5-8C99-4F19-AD87-E18F5688092C}" name="Offer ($k)" dataDxfId="86"/>
    <tableColumn id="13" xr3:uid="{F161E217-21E3-43F6-8950-6B55E96BDA22}" name="NOI or Rent ($k/yr)" dataDxfId="85"/>
    <tableColumn id="14" xr3:uid="{A6B880D6-66F9-484F-92F0-EB2D64ECC020}" name="Cap / Yield signal" dataDxfId="84"/>
    <tableColumn id="15" xr3:uid="{3AA343F4-153E-41AD-A426-4E21B4EC0F28}" name="Next Action" dataDxfId="83"/>
    <tableColumn id="16" xr3:uid="{3F291F2E-AF70-4DE0-90F5-671BCF94EBC7}" name="Next Action Date" dataDxfId="82"/>
    <tableColumn id="17" xr3:uid="{983F0150-77AE-4521-B5C5-1F8B2E811F0B}" name="Notes" dataDxfId="81"/>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FF8AB44-EFA0-4025-A7E3-559BC076A1C4}" name="TableREClosed" displayName="TableREClosed" ref="A6:M7" totalsRowShown="0" headerRowDxfId="80" dataDxfId="79">
  <autoFilter ref="A6:M7" xr:uid="{7FF8AB44-EFA0-4025-A7E3-559BC076A1C4}"/>
  <tableColumns count="13">
    <tableColumn id="1" xr3:uid="{FB8BB6D3-1547-4FC4-9D6B-2538C4CAC2EA}" name="RE ID" dataDxfId="78"/>
    <tableColumn id="2" xr3:uid="{52677941-2AC0-4260-825C-DAC049D7ACB9}" name="Added Date" dataDxfId="77"/>
    <tableColumn id="3" xr3:uid="{7939F3FA-3482-4AEB-86EB-7F47A64327A1}" name="Asset / Address" dataDxfId="76"/>
    <tableColumn id="4" xr3:uid="{29FDB88F-002B-44F6-A938-3B33E95E443C}" name="Route" dataDxfId="75"/>
    <tableColumn id="5" xr3:uid="{43F50AE6-CB00-41B2-8D7D-E65E67009824}" name="Asset Type" dataDxfId="74"/>
    <tableColumn id="6" xr3:uid="{7942B786-9BD0-482A-B184-B3337F241765}" name="Market / City" dataDxfId="73"/>
    <tableColumn id="7" xr3:uid="{3EDF4786-8985-4584-AA5F-F109709D7405}" name="Sourcer" dataDxfId="72"/>
    <tableColumn id="8" xr3:uid="{BAAA8985-B205-466B-B0C3-AB24B12007AD}" name="Final Stage" dataDxfId="71"/>
    <tableColumn id="9" xr3:uid="{76399CBD-FB4E-4AAE-A645-F2837E70E661}" name="Close Price ($k)" dataDxfId="70"/>
    <tableColumn id="10" xr3:uid="{C1441550-AC9B-4EB1-B69E-82694B0548F1}" name="Outcome" dataDxfId="69"/>
    <tableColumn id="11" xr3:uid="{24F70421-D065-41F0-984C-FB7F131D9C1F}" name="Outcome Reason" dataDxfId="68"/>
    <tableColumn id="12" xr3:uid="{32911FF7-2DDD-4F3C-905E-C9D3247F6755}" name="Close Date" dataDxfId="67"/>
    <tableColumn id="13" xr3:uid="{6C6C3A27-BC01-48C2-84F4-65648C768D64}" name="Notes" dataDxfId="66"/>
  </tableColumns>
  <tableStyleInfo name="TableStyleMedium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3B13095-76DF-48B2-8C1E-4C876BA69C6C}" name="TableRETasks" displayName="TableRETasks" ref="A6:L8" totalsRowShown="0" headerRowDxfId="65" dataDxfId="64">
  <autoFilter ref="A6:L8" xr:uid="{B3B13095-76DF-48B2-8C1E-4C876BA69C6C}"/>
  <tableColumns count="12">
    <tableColumn id="1" xr3:uid="{43335FF1-3E5A-455E-95C6-21A7F9BD9076}" name="Task ID" dataDxfId="63"/>
    <tableColumn id="2" xr3:uid="{275DD107-DD33-4709-8C3F-27C0253C1B4A}" name="Added Date" dataDxfId="62"/>
    <tableColumn id="3" xr3:uid="{D3A6399A-8C22-4017-B291-233E604E9A25}" name="Asset / Address" dataDxfId="61"/>
    <tableColumn id="4" xr3:uid="{55875918-C403-40AF-86A1-BC635A4026EB}" name="RE ID" dataDxfId="60"/>
    <tableColumn id="5" xr3:uid="{CBC5383C-8311-40C2-B136-21E99374783D}" name="Route" dataDxfId="59"/>
    <tableColumn id="6" xr3:uid="{9449AE75-2504-44DA-8309-D61A594DCAD9}" name="Process Stage" dataDxfId="58"/>
    <tableColumn id="7" xr3:uid="{6919D75A-23C9-4A61-9B7B-423D18BF78BD}" name="Task" dataDxfId="57"/>
    <tableColumn id="8" xr3:uid="{064DD429-976D-4F86-BBB0-C38AF1CFA08F}" name="Priority" dataDxfId="56"/>
    <tableColumn id="9" xr3:uid="{17474956-B6ED-4B10-A8DE-18647BF2ABA9}" name="Status" dataDxfId="55"/>
    <tableColumn id="10" xr3:uid="{D6B740DF-E2FF-4251-A30A-59F865638E82}" name="Owner" dataDxfId="54"/>
    <tableColumn id="11" xr3:uid="{A3A51DA8-EA10-4985-B217-30A7FDEB7241}" name="Due Date" dataDxfId="53"/>
    <tableColumn id="12" xr3:uid="{BECDEFA4-44C0-46DA-8A07-B73B6201CCB4}" name="Notes" dataDxfId="52"/>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68503D9-A26E-4BF3-A369-AA20597A848D}" name="TableRETasksDone" displayName="TableRETasksDone" ref="A6:N7" totalsRowShown="0" headerRowDxfId="51" dataDxfId="50">
  <autoFilter ref="A6:N7" xr:uid="{E68503D9-A26E-4BF3-A369-AA20597A848D}"/>
  <tableColumns count="14">
    <tableColumn id="1" xr3:uid="{4A460061-8228-46C4-908E-5B4ABC7148B6}" name="Task ID" dataDxfId="49"/>
    <tableColumn id="2" xr3:uid="{9F2E6C90-1C76-4AA8-9DA4-3D29B458A8BC}" name="Added Date" dataDxfId="48"/>
    <tableColumn id="3" xr3:uid="{23FBA8CF-8718-435D-B5CB-655F882BBFE2}" name="Asset / Address" dataDxfId="47"/>
    <tableColumn id="4" xr3:uid="{B6FA96BC-4D89-4FA8-8074-DEF1657FEA52}" name="RE ID" dataDxfId="46"/>
    <tableColumn id="5" xr3:uid="{E0142B0A-D52B-4FAD-A876-24958E784909}" name="Route" dataDxfId="45"/>
    <tableColumn id="6" xr3:uid="{7132FF09-83D9-40D4-99B1-36DC33D286DD}" name="Process Stage" dataDxfId="44"/>
    <tableColumn id="7" xr3:uid="{44044471-A78E-4B3C-A6D8-17E794137383}" name="Task" dataDxfId="43"/>
    <tableColumn id="8" xr3:uid="{07D469ED-328D-43E2-AA77-4438F18BA8AF}" name="Priority" dataDxfId="42"/>
    <tableColumn id="9" xr3:uid="{B845D8C8-C3A0-4E4D-808C-0C0A541B2CBE}" name="Status" dataDxfId="41"/>
    <tableColumn id="10" xr3:uid="{E02734FA-46AD-4EB0-A1D3-C488D3DB1E84}" name="Owner" dataDxfId="40"/>
    <tableColumn id="11" xr3:uid="{3269582F-29DB-4895-8842-77268D9DFF54}" name="Due Date" dataDxfId="39"/>
    <tableColumn id="12" xr3:uid="{776E528A-CE4F-4421-B2DE-DFFAA8D8D232}" name="Notes" dataDxfId="38"/>
    <tableColumn id="13" xr3:uid="{D44EB0FB-9C50-4F83-9277-3C72EC153780}" name="Date Completed" dataDxfId="37"/>
    <tableColumn id="14" xr3:uid="{2DD6F67E-5171-4259-8836-A4585F0C8CEC}" name="Completed By" dataDxfId="36"/>
  </tableColumns>
  <tableStyleInfo name="TableStyleMedium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31AD892-967C-4D86-A0CB-944AC825B3B4}" name="TableREProcess" displayName="TableREProcess" ref="A4:G22" totalsRowShown="0" headerRowDxfId="35">
  <autoFilter ref="A4:G22" xr:uid="{431AD892-967C-4D86-A0CB-944AC825B3B4}"/>
  <tableColumns count="7">
    <tableColumn id="1" xr3:uid="{5C4F459E-9FF0-45AC-8EE9-BE8B38338FB6}" name="Lib ID"/>
    <tableColumn id="2" xr3:uid="{6BC4583C-5CF9-4929-B31E-FBEE47CFFA7E}" name="Route"/>
    <tableColumn id="3" xr3:uid="{3913663E-6796-4E0A-ADC9-0DC071510D7E}" name="Process Stage"/>
    <tableColumn id="4" xr3:uid="{A9E7E725-C062-4B7E-B2C7-6B78726A995D}" name="Task"/>
    <tableColumn id="5" xr3:uid="{9028FAF2-A8E4-4299-9BAD-AF367405804B}" name="Priority"/>
    <tableColumn id="6" xr3:uid="{370BC9EC-C7C7-4B11-8560-F8FC5C077B42}" name="Owner Role"/>
    <tableColumn id="7" xr3:uid="{7A3D6D53-D91C-4B9D-BCE7-A1E5228F73F4}" name="What Good Looks Like"/>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EAB0407-FCBF-4494-932A-F60568FD9569}" name="TableREPortfolio" displayName="TableREPortfolio" ref="A6:N7" totalsRowShown="0" headerRowDxfId="34" dataDxfId="33">
  <autoFilter ref="A6:N7" xr:uid="{BEAB0407-FCBF-4494-932A-F60568FD9569}"/>
  <tableColumns count="14">
    <tableColumn id="1" xr3:uid="{B599C472-5E8E-4A2E-893D-E7DA2BA1C8AB}" name="PFRE ID" dataDxfId="32"/>
    <tableColumn id="2" xr3:uid="{81470364-BC98-4BCE-9DF4-869E8BD679BC}" name="Asset / Address" dataDxfId="31"/>
    <tableColumn id="3" xr3:uid="{DB6DBF84-54A2-4626-975D-E6CDC8AF8AFC}" name="RE ID" dataDxfId="30"/>
    <tableColumn id="4" xr3:uid="{8A200D4A-8BF2-47B9-A60D-DBE3DDFD1432}" name="Route" dataDxfId="29"/>
    <tableColumn id="5" xr3:uid="{C55BC125-36ED-4C9F-8B5A-98421BBFA455}" name="Asset Type" dataDxfId="28"/>
    <tableColumn id="6" xr3:uid="{CD0D2004-CD9A-47CC-89F3-0ADA8E88D80D}" name="Close Date" dataDxfId="27"/>
    <tableColumn id="7" xr3:uid="{D63F1F52-7E3E-478A-933C-AA28F0C4EA36}" name="Basis $k" dataDxfId="26"/>
    <tableColumn id="8" xr3:uid="{ADF20B78-D85B-4454-B5B0-3DA3B9F900E4}" name="NOI $k" dataDxfId="25"/>
    <tableColumn id="9" xr3:uid="{FB730BEC-980E-474E-BA18-C39F67C1109F}" name="Occ %" dataDxfId="24"/>
    <tableColumn id="10" xr3:uid="{20ECF47F-8E0F-43DF-AA01-C601ACC389CB}" name="Yield on basis" dataDxfId="23">
      <calculatedColumnFormula>IFERROR(H7/G7,0)</calculatedColumnFormula>
    </tableColumn>
    <tableColumn id="11" xr3:uid="{2B6BE7EA-FAE4-46EC-B31F-8C2B0382EFAD}" name="PM / Owner" dataDxfId="22"/>
    <tableColumn id="12" xr3:uid="{7BD0DF0A-A4C0-4AE4-ABF3-C628980200E3}" name="Health" dataDxfId="21"/>
    <tableColumn id="13" xr3:uid="{CE667711-6F0F-4EBD-9B70-820F001F3130}" name="Top Issue" dataDxfId="20"/>
    <tableColumn id="14" xr3:uid="{ADD53E81-CE72-4CC6-8ED9-D37D961838EE}" name="Last Update" dataDxfId="19"/>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F151218-9833-4D81-AEBF-2C1FE5128B15}" name="TablePortfolio" displayName="TablePortfolio" ref="A6:Q9" totalsRowShown="0" headerRowDxfId="18" dataDxfId="17">
  <autoFilter ref="A6:Q9" xr:uid="{2F151218-9833-4D81-AEBF-2C1FE5128B15}"/>
  <tableColumns count="17">
    <tableColumn id="1" xr3:uid="{B42C64BF-46E4-4869-8719-CDB8F4AE30F4}" name="PF ID" dataDxfId="16"/>
    <tableColumn id="2" xr3:uid="{DC71767E-B66F-488A-82BC-D49A0E22A320}" name="Company" dataDxfId="15"/>
    <tableColumn id="3" xr3:uid="{2650BBC6-D839-43EB-860A-B61F75549584}" name="Deal ID" dataDxfId="14"/>
    <tableColumn id="4" xr3:uid="{41BB9B89-40D7-4B78-8E9C-4901C15330E9}" name="Path" dataDxfId="13"/>
    <tableColumn id="5" xr3:uid="{25CBD407-C541-468F-BEB6-DD2DEA391F65}" name="Close Date" dataDxfId="12"/>
    <tableColumn id="6" xr3:uid="{77E3E0D3-E13C-419B-BD21-02049339008D}" name="COO Owner" dataDxfId="11"/>
    <tableColumn id="7" xr3:uid="{61C4E276-A172-49CC-A03E-5A38B30DB3AE}" name="Board Lead" dataDxfId="10"/>
    <tableColumn id="8" xr3:uid="{17140C03-B369-4AD0-839B-E765B7A85DE1}" name="ARR ($k)" dataDxfId="9"/>
    <tableColumn id="9" xr3:uid="{045E26DE-0A20-4E70-907D-1D6369238A2F}" name="MoM Growth" dataDxfId="8"/>
    <tableColumn id="10" xr3:uid="{BFE472DA-957A-4476-9670-95524BBA506A}" name="Net Burn ($k)" dataDxfId="7"/>
    <tableColumn id="11" xr3:uid="{C51C8D47-00E6-40CB-A050-E5CB65E5B53C}" name="Runway Mo" dataDxfId="6"/>
    <tableColumn id="12" xr3:uid="{98365B84-D9C4-4AEE-AF52-364272465413}" name="Cash ($k)" dataDxfId="5"/>
    <tableColumn id="13" xr3:uid="{7EE68323-886F-42C2-8967-538C5DFC2B25}" name="Health" dataDxfId="4"/>
    <tableColumn id="14" xr3:uid="{04C283FC-9B69-4710-A8D6-64F4111BD201}" name="Top Risk" dataDxfId="3"/>
    <tableColumn id="15" xr3:uid="{9A83E93D-F086-44B2-92FA-79B205080826}" name="Next Milestone" dataDxfId="2"/>
    <tableColumn id="16" xr3:uid="{49144DCE-7B01-4E21-A575-BA26C3E16E6B}" name="Last Update" dataDxfId="1"/>
    <tableColumn id="17" xr3:uid="{F41515DC-E106-453A-B7FD-CBC050102009}"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69F94C3-762C-4DCC-B470-48C3C4A2E219}">
  <we:reference id="d222b351-b46d-4032-a211-e912a3dc4791" version="1.0.0.2" store="excatalog" storeType="excatalog"/>
  <we:alternateReferences>
    <we:reference id="WA200011056" version="1.0.0.2" store="en-us" storeType="omex"/>
  </we:alternateReferences>
  <we:properties>
    <we:property name="grokConversationBinding" value="{&quot;responseId&quot;:&quot;d2c38ab7-7e74-9156-84dd-59fc3a75816b&quot;,&quot;title&quot;:&quot;Venture Capital Checklist Build&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41.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4273A-BA82-40F9-B47F-CF8CF38FC323}">
  <sheetPr>
    <tabColor rgb="FF3A414F"/>
  </sheetPr>
  <dimension ref="A1:E85"/>
  <sheetViews>
    <sheetView tabSelected="1" workbookViewId="0">
      <selection sqref="A1:E1"/>
    </sheetView>
  </sheetViews>
  <sheetFormatPr defaultRowHeight="15"/>
  <cols>
    <col min="1" max="1" width="85.7109375" customWidth="1"/>
    <col min="2" max="2" width="99" customWidth="1"/>
    <col min="3" max="3" width="41.85546875" customWidth="1"/>
    <col min="4" max="4" width="49.5703125" customWidth="1"/>
    <col min="5" max="5" width="38.140625" customWidth="1"/>
  </cols>
  <sheetData>
    <row r="1" spans="1:5" ht="26.25">
      <c r="A1" s="70" t="s">
        <v>0</v>
      </c>
      <c r="B1" s="70"/>
      <c r="C1" s="70"/>
      <c r="D1" s="70"/>
      <c r="E1" s="70"/>
    </row>
    <row r="2" spans="1:5">
      <c r="A2" s="132" t="s">
        <v>1</v>
      </c>
      <c r="B2" s="132"/>
      <c r="C2" s="132"/>
      <c r="D2" s="132"/>
      <c r="E2" s="132"/>
    </row>
    <row r="3" spans="1:5">
      <c r="A3" s="28" t="s">
        <v>2</v>
      </c>
      <c r="B3" s="202" t="s">
        <v>3</v>
      </c>
      <c r="C3" s="202"/>
      <c r="D3" s="202"/>
      <c r="E3" s="202"/>
    </row>
    <row r="4" spans="1:5" ht="15.75">
      <c r="A4" s="203" t="s">
        <v>4</v>
      </c>
      <c r="B4" s="203"/>
      <c r="C4" s="203"/>
      <c r="D4" s="203"/>
      <c r="E4" s="203"/>
    </row>
    <row r="5" spans="1:5">
      <c r="A5" s="22" t="s">
        <v>5</v>
      </c>
      <c r="B5" s="22" t="s">
        <v>6</v>
      </c>
      <c r="C5" s="22" t="s">
        <v>7</v>
      </c>
      <c r="D5" s="22" t="s">
        <v>8</v>
      </c>
    </row>
    <row r="6" spans="1:5">
      <c r="A6" t="s">
        <v>9</v>
      </c>
      <c r="B6" s="27" t="s">
        <v>10</v>
      </c>
      <c r="C6" t="s">
        <v>11</v>
      </c>
      <c r="D6" t="s">
        <v>12</v>
      </c>
    </row>
    <row r="7" spans="1:5">
      <c r="A7" t="s">
        <v>13</v>
      </c>
      <c r="B7" s="27" t="s">
        <v>14</v>
      </c>
      <c r="C7" t="s">
        <v>15</v>
      </c>
      <c r="D7" t="s">
        <v>16</v>
      </c>
    </row>
    <row r="8" spans="1:5">
      <c r="A8" t="s">
        <v>17</v>
      </c>
      <c r="B8" s="59" t="s">
        <v>18</v>
      </c>
      <c r="C8" t="s">
        <v>19</v>
      </c>
      <c r="D8" t="s">
        <v>20</v>
      </c>
    </row>
    <row r="9" spans="1:5">
      <c r="A9" t="s">
        <v>21</v>
      </c>
      <c r="B9" s="68" t="s">
        <v>22</v>
      </c>
      <c r="C9" t="s">
        <v>23</v>
      </c>
      <c r="D9" t="s">
        <v>24</v>
      </c>
    </row>
    <row r="10" spans="1:5" ht="15.75">
      <c r="A10" s="203" t="s">
        <v>25</v>
      </c>
      <c r="B10" s="203"/>
      <c r="C10" s="203"/>
      <c r="D10" s="203"/>
      <c r="E10" s="203"/>
    </row>
    <row r="11" spans="1:5">
      <c r="A11" s="22" t="s">
        <v>26</v>
      </c>
      <c r="B11" s="22" t="s">
        <v>27</v>
      </c>
      <c r="C11" s="22" t="s">
        <v>28</v>
      </c>
      <c r="D11" s="22" t="s">
        <v>29</v>
      </c>
      <c r="E11" s="22" t="s">
        <v>30</v>
      </c>
    </row>
    <row r="12" spans="1:5">
      <c r="A12" t="s">
        <v>31</v>
      </c>
      <c r="B12" t="s">
        <v>32</v>
      </c>
      <c r="C12" t="s">
        <v>33</v>
      </c>
      <c r="D12" t="s">
        <v>34</v>
      </c>
      <c r="E12" t="s">
        <v>35</v>
      </c>
    </row>
    <row r="13" spans="1:5">
      <c r="A13" t="s">
        <v>36</v>
      </c>
      <c r="B13" t="s">
        <v>37</v>
      </c>
      <c r="C13" t="s">
        <v>38</v>
      </c>
      <c r="D13" t="s">
        <v>39</v>
      </c>
      <c r="E13" t="s">
        <v>40</v>
      </c>
    </row>
    <row r="14" spans="1:5">
      <c r="A14" t="s">
        <v>41</v>
      </c>
      <c r="B14" t="s">
        <v>42</v>
      </c>
      <c r="C14" t="s">
        <v>43</v>
      </c>
      <c r="D14" t="s">
        <v>44</v>
      </c>
      <c r="E14" t="s">
        <v>45</v>
      </c>
    </row>
    <row r="15" spans="1:5">
      <c r="A15" t="s">
        <v>46</v>
      </c>
      <c r="B15" t="s">
        <v>47</v>
      </c>
      <c r="C15" t="s">
        <v>38</v>
      </c>
      <c r="D15" t="s">
        <v>48</v>
      </c>
      <c r="E15" t="s">
        <v>49</v>
      </c>
    </row>
    <row r="16" spans="1:5">
      <c r="A16" t="s">
        <v>50</v>
      </c>
      <c r="B16" t="s">
        <v>51</v>
      </c>
      <c r="C16" t="s">
        <v>52</v>
      </c>
      <c r="D16" t="s">
        <v>53</v>
      </c>
      <c r="E16" t="s">
        <v>54</v>
      </c>
    </row>
    <row r="17" spans="1:5">
      <c r="A17" t="s">
        <v>55</v>
      </c>
      <c r="B17" t="s">
        <v>56</v>
      </c>
      <c r="C17" t="s">
        <v>57</v>
      </c>
      <c r="D17" t="s">
        <v>58</v>
      </c>
      <c r="E17" t="s">
        <v>59</v>
      </c>
    </row>
    <row r="18" spans="1:5">
      <c r="A18" t="s">
        <v>60</v>
      </c>
      <c r="B18" t="s">
        <v>61</v>
      </c>
      <c r="C18" t="s">
        <v>62</v>
      </c>
      <c r="D18" t="s">
        <v>23</v>
      </c>
      <c r="E18" t="s">
        <v>63</v>
      </c>
    </row>
    <row r="19" spans="1:5" ht="15.75">
      <c r="A19" s="203" t="s">
        <v>64</v>
      </c>
      <c r="B19" s="203"/>
      <c r="C19" s="203"/>
      <c r="D19" s="203"/>
      <c r="E19" s="203"/>
    </row>
    <row r="20" spans="1:5">
      <c r="A20" s="27" t="s">
        <v>10</v>
      </c>
      <c r="B20" s="72" t="s">
        <v>65</v>
      </c>
      <c r="C20" s="204"/>
      <c r="D20" s="204"/>
      <c r="E20" s="204"/>
    </row>
    <row r="21" spans="1:5">
      <c r="A21" s="59" t="s">
        <v>18</v>
      </c>
      <c r="B21" s="72" t="s">
        <v>66</v>
      </c>
      <c r="C21" s="204"/>
      <c r="D21" s="204"/>
      <c r="E21" s="204"/>
    </row>
    <row r="22" spans="1:5">
      <c r="A22" s="68" t="s">
        <v>22</v>
      </c>
      <c r="B22" t="s">
        <v>67</v>
      </c>
    </row>
    <row r="23" spans="1:5" ht="15.75">
      <c r="A23" s="203" t="s">
        <v>68</v>
      </c>
      <c r="B23" s="203"/>
      <c r="C23" s="203"/>
      <c r="D23" s="203"/>
      <c r="E23" s="203"/>
    </row>
    <row r="24" spans="1:5">
      <c r="A24" s="22" t="s">
        <v>69</v>
      </c>
      <c r="B24" s="22" t="s">
        <v>70</v>
      </c>
      <c r="C24" s="22" t="s">
        <v>71</v>
      </c>
    </row>
    <row r="25" spans="1:5">
      <c r="A25" t="s">
        <v>33</v>
      </c>
      <c r="B25" t="s">
        <v>72</v>
      </c>
      <c r="C25" t="s">
        <v>73</v>
      </c>
    </row>
    <row r="26" spans="1:5">
      <c r="A26" t="s">
        <v>38</v>
      </c>
      <c r="B26" t="s">
        <v>74</v>
      </c>
      <c r="C26" t="s">
        <v>75</v>
      </c>
    </row>
    <row r="27" spans="1:5">
      <c r="A27" t="s">
        <v>76</v>
      </c>
      <c r="B27" t="s">
        <v>77</v>
      </c>
      <c r="C27" t="s">
        <v>78</v>
      </c>
    </row>
    <row r="28" spans="1:5">
      <c r="A28" t="s">
        <v>79</v>
      </c>
      <c r="B28" t="s">
        <v>80</v>
      </c>
      <c r="C28" t="s">
        <v>81</v>
      </c>
    </row>
    <row r="29" spans="1:5">
      <c r="A29" t="s">
        <v>82</v>
      </c>
      <c r="B29" t="s">
        <v>83</v>
      </c>
      <c r="C29" t="s">
        <v>84</v>
      </c>
    </row>
    <row r="30" spans="1:5" ht="15.75">
      <c r="A30" s="203" t="s">
        <v>85</v>
      </c>
      <c r="B30" s="203"/>
      <c r="C30" s="203"/>
      <c r="D30" s="203"/>
      <c r="E30" s="203"/>
    </row>
    <row r="31" spans="1:5">
      <c r="A31" s="204" t="s">
        <v>86</v>
      </c>
      <c r="B31" s="204"/>
      <c r="C31" s="204"/>
      <c r="D31" s="204"/>
      <c r="E31" s="204"/>
    </row>
    <row r="32" spans="1:5">
      <c r="A32" s="204" t="s">
        <v>87</v>
      </c>
      <c r="B32" s="204"/>
      <c r="C32" s="204"/>
      <c r="D32" s="204"/>
      <c r="E32" s="204"/>
    </row>
    <row r="33" spans="1:5">
      <c r="A33" s="204" t="s">
        <v>88</v>
      </c>
      <c r="B33" s="204"/>
      <c r="C33" s="204"/>
      <c r="D33" s="204"/>
      <c r="E33" s="204"/>
    </row>
    <row r="34" spans="1:5">
      <c r="A34" s="204" t="s">
        <v>89</v>
      </c>
      <c r="B34" s="204"/>
      <c r="C34" s="204"/>
      <c r="D34" s="204"/>
      <c r="E34" s="204"/>
    </row>
    <row r="35" spans="1:5">
      <c r="A35" s="204" t="s">
        <v>90</v>
      </c>
      <c r="B35" s="204"/>
      <c r="C35" s="204"/>
      <c r="D35" s="204"/>
      <c r="E35" s="204"/>
    </row>
    <row r="36" spans="1:5">
      <c r="A36" s="204" t="s">
        <v>91</v>
      </c>
      <c r="B36" s="204"/>
      <c r="C36" s="204"/>
      <c r="D36" s="204"/>
      <c r="E36" s="204"/>
    </row>
    <row r="37" spans="1:5">
      <c r="A37" t="s">
        <v>92</v>
      </c>
    </row>
    <row r="38" spans="1:5" ht="15.75">
      <c r="A38" s="203" t="s">
        <v>93</v>
      </c>
      <c r="B38" s="203"/>
      <c r="C38" s="203"/>
      <c r="D38" s="203"/>
      <c r="E38" s="203"/>
    </row>
    <row r="39" spans="1:5">
      <c r="A39" s="22" t="s">
        <v>94</v>
      </c>
      <c r="B39" s="22" t="s">
        <v>95</v>
      </c>
    </row>
    <row r="40" spans="1:5">
      <c r="A40" t="s">
        <v>96</v>
      </c>
      <c r="B40" t="s">
        <v>48</v>
      </c>
    </row>
    <row r="41" spans="1:5">
      <c r="A41" t="s">
        <v>97</v>
      </c>
      <c r="B41" t="s">
        <v>98</v>
      </c>
    </row>
    <row r="42" spans="1:5">
      <c r="A42" t="s">
        <v>99</v>
      </c>
      <c r="B42" t="s">
        <v>100</v>
      </c>
    </row>
    <row r="43" spans="1:5">
      <c r="A43" t="s">
        <v>101</v>
      </c>
      <c r="B43" t="s">
        <v>102</v>
      </c>
    </row>
    <row r="44" spans="1:5">
      <c r="A44" t="s">
        <v>103</v>
      </c>
      <c r="B44" t="s">
        <v>104</v>
      </c>
    </row>
    <row r="45" spans="1:5">
      <c r="A45" t="s">
        <v>105</v>
      </c>
      <c r="B45" t="s">
        <v>106</v>
      </c>
    </row>
    <row r="46" spans="1:5">
      <c r="A46" t="s">
        <v>107</v>
      </c>
      <c r="B46" t="s">
        <v>108</v>
      </c>
    </row>
    <row r="47" spans="1:5">
      <c r="A47" t="s">
        <v>109</v>
      </c>
      <c r="B47" t="s">
        <v>110</v>
      </c>
    </row>
    <row r="48" spans="1:5">
      <c r="A48" t="s">
        <v>111</v>
      </c>
      <c r="B48" t="s">
        <v>112</v>
      </c>
    </row>
    <row r="49" spans="1:5">
      <c r="A49" t="s">
        <v>113</v>
      </c>
      <c r="B49" t="s">
        <v>114</v>
      </c>
    </row>
    <row r="50" spans="1:5">
      <c r="A50" s="205" t="s">
        <v>115</v>
      </c>
      <c r="B50" s="205"/>
      <c r="C50" s="205"/>
      <c r="D50" s="205"/>
      <c r="E50" s="205"/>
    </row>
    <row r="51" spans="1:5">
      <c r="A51" s="38" t="s">
        <v>116</v>
      </c>
    </row>
    <row r="53" spans="1:5" ht="15.75">
      <c r="A53" s="203" t="s">
        <v>117</v>
      </c>
      <c r="B53" s="203"/>
      <c r="C53" s="203"/>
      <c r="D53" s="203"/>
    </row>
    <row r="54" spans="1:5">
      <c r="A54" s="22" t="s">
        <v>118</v>
      </c>
      <c r="B54" s="22" t="s">
        <v>119</v>
      </c>
      <c r="C54" s="22" t="s">
        <v>28</v>
      </c>
      <c r="D54" s="22" t="s">
        <v>120</v>
      </c>
    </row>
    <row r="55" spans="1:5">
      <c r="A55" t="s">
        <v>121</v>
      </c>
      <c r="B55" t="s">
        <v>122</v>
      </c>
      <c r="C55" t="s">
        <v>123</v>
      </c>
      <c r="D55" t="s">
        <v>124</v>
      </c>
    </row>
    <row r="56" spans="1:5">
      <c r="A56" t="s">
        <v>125</v>
      </c>
      <c r="B56" t="s">
        <v>126</v>
      </c>
      <c r="C56" t="s">
        <v>127</v>
      </c>
      <c r="D56" t="s">
        <v>128</v>
      </c>
    </row>
    <row r="57" spans="1:5">
      <c r="A57" t="s">
        <v>129</v>
      </c>
      <c r="B57" t="s">
        <v>130</v>
      </c>
      <c r="C57" t="s">
        <v>131</v>
      </c>
      <c r="D57" t="s">
        <v>132</v>
      </c>
    </row>
    <row r="58" spans="1:5">
      <c r="A58" s="204" t="s">
        <v>133</v>
      </c>
      <c r="B58" s="204"/>
      <c r="C58" s="204"/>
      <c r="D58" s="204"/>
    </row>
    <row r="59" spans="1:5">
      <c r="A59" t="s">
        <v>134</v>
      </c>
    </row>
    <row r="60" spans="1:5">
      <c r="A60" t="s">
        <v>135</v>
      </c>
    </row>
    <row r="61" spans="1:5" ht="15.75">
      <c r="A61" s="203" t="s">
        <v>136</v>
      </c>
      <c r="B61" s="203"/>
      <c r="C61" s="203"/>
      <c r="D61" s="203"/>
    </row>
    <row r="62" spans="1:5">
      <c r="A62" t="s">
        <v>137</v>
      </c>
    </row>
    <row r="63" spans="1:5">
      <c r="A63" t="s">
        <v>138</v>
      </c>
    </row>
    <row r="64" spans="1:5">
      <c r="A64" t="s">
        <v>139</v>
      </c>
    </row>
    <row r="65" spans="1:4" ht="15.75">
      <c r="A65" s="206" t="s">
        <v>140</v>
      </c>
      <c r="B65" s="206"/>
      <c r="C65" s="206"/>
      <c r="D65" s="206"/>
    </row>
    <row r="66" spans="1:4">
      <c r="A66" t="s">
        <v>141</v>
      </c>
    </row>
    <row r="67" spans="1:4">
      <c r="A67" t="s">
        <v>142</v>
      </c>
    </row>
    <row r="68" spans="1:4">
      <c r="A68" t="s">
        <v>143</v>
      </c>
    </row>
    <row r="69" spans="1:4">
      <c r="A69" t="s">
        <v>144</v>
      </c>
    </row>
    <row r="70" spans="1:4">
      <c r="A70" t="s">
        <v>145</v>
      </c>
    </row>
    <row r="72" spans="1:4" ht="15.75">
      <c r="A72" s="203" t="s">
        <v>146</v>
      </c>
      <c r="B72" s="203"/>
      <c r="C72" s="203"/>
    </row>
    <row r="73" spans="1:4">
      <c r="A73" s="22" t="s">
        <v>147</v>
      </c>
      <c r="B73" s="22" t="s">
        <v>148</v>
      </c>
      <c r="C73" s="22" t="s">
        <v>149</v>
      </c>
    </row>
    <row r="74" spans="1:4">
      <c r="A74" s="108" t="s">
        <v>7</v>
      </c>
      <c r="B74" s="108" t="s">
        <v>150</v>
      </c>
      <c r="C74" s="108" t="s">
        <v>151</v>
      </c>
    </row>
    <row r="75" spans="1:4">
      <c r="A75" s="108" t="s">
        <v>152</v>
      </c>
      <c r="B75" s="108" t="s">
        <v>153</v>
      </c>
      <c r="C75" s="108" t="s">
        <v>154</v>
      </c>
    </row>
    <row r="76" spans="1:4">
      <c r="A76" s="108" t="s">
        <v>155</v>
      </c>
      <c r="B76" s="108" t="s">
        <v>156</v>
      </c>
      <c r="C76" s="108" t="s">
        <v>157</v>
      </c>
    </row>
    <row r="77" spans="1:4">
      <c r="A77" s="108" t="s">
        <v>158</v>
      </c>
      <c r="B77" s="108" t="s">
        <v>159</v>
      </c>
      <c r="C77" s="108" t="s">
        <v>160</v>
      </c>
    </row>
    <row r="78" spans="1:4">
      <c r="A78" s="108" t="s">
        <v>161</v>
      </c>
      <c r="B78" s="108" t="s">
        <v>162</v>
      </c>
      <c r="C78" s="108" t="s">
        <v>163</v>
      </c>
    </row>
    <row r="79" spans="1:4">
      <c r="A79" s="108" t="s">
        <v>164</v>
      </c>
      <c r="B79" s="108" t="s">
        <v>165</v>
      </c>
      <c r="C79" s="108" t="s">
        <v>166</v>
      </c>
    </row>
    <row r="80" spans="1:4">
      <c r="A80" s="108" t="s">
        <v>167</v>
      </c>
      <c r="B80" s="108" t="s">
        <v>168</v>
      </c>
      <c r="C80" s="108" t="s">
        <v>169</v>
      </c>
    </row>
    <row r="81" spans="1:3">
      <c r="A81" s="108" t="s">
        <v>170</v>
      </c>
      <c r="B81" s="108" t="s">
        <v>171</v>
      </c>
      <c r="C81" s="108" t="s">
        <v>172</v>
      </c>
    </row>
    <row r="83" spans="1:3">
      <c r="A83" s="207" t="s">
        <v>173</v>
      </c>
      <c r="B83" s="207"/>
      <c r="C83" s="207"/>
    </row>
    <row r="84" spans="1:3">
      <c r="A84" s="207" t="s">
        <v>174</v>
      </c>
      <c r="B84" s="207"/>
      <c r="C84" s="207"/>
    </row>
    <row r="85" spans="1:3">
      <c r="A85" t="s">
        <v>175</v>
      </c>
    </row>
  </sheetData>
  <mergeCells count="25">
    <mergeCell ref="A72:C72"/>
    <mergeCell ref="A83:C83"/>
    <mergeCell ref="A84:C84"/>
    <mergeCell ref="B3:E3"/>
    <mergeCell ref="A53:D53"/>
    <mergeCell ref="A58:D58"/>
    <mergeCell ref="A61:D61"/>
    <mergeCell ref="A65:D65"/>
    <mergeCell ref="A34:E34"/>
    <mergeCell ref="A35:E35"/>
    <mergeCell ref="A36:E36"/>
    <mergeCell ref="A38:E38"/>
    <mergeCell ref="A50:E50"/>
    <mergeCell ref="A33:E33"/>
    <mergeCell ref="A1:E1"/>
    <mergeCell ref="A2:E2"/>
    <mergeCell ref="A4:E4"/>
    <mergeCell ref="A10:E10"/>
    <mergeCell ref="A19:E19"/>
    <mergeCell ref="B20:E20"/>
    <mergeCell ref="B21:E21"/>
    <mergeCell ref="A23:E23"/>
    <mergeCell ref="A30:E30"/>
    <mergeCell ref="A31:E31"/>
    <mergeCell ref="A32:E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4B673-EEE7-4F6F-ABAA-ADE35605EAEC}">
  <sheetPr>
    <tabColor rgb="FF3A414F"/>
  </sheetPr>
  <dimension ref="A1:D44"/>
  <sheetViews>
    <sheetView workbookViewId="0"/>
  </sheetViews>
  <sheetFormatPr defaultRowHeight="15"/>
  <sheetData>
    <row r="1" spans="1:4" ht="23.25">
      <c r="A1" s="186" t="s">
        <v>176</v>
      </c>
      <c r="B1" s="73"/>
      <c r="C1" s="73"/>
      <c r="D1" s="73"/>
    </row>
    <row r="2" spans="1:4">
      <c r="A2" s="132" t="s">
        <v>177</v>
      </c>
      <c r="B2" s="132"/>
      <c r="C2" s="132"/>
      <c r="D2" s="132"/>
    </row>
    <row r="4" spans="1:4">
      <c r="A4" s="111"/>
    </row>
    <row r="15" spans="1:4">
      <c r="A15" s="111"/>
    </row>
    <row r="23" spans="1:1">
      <c r="A23" s="111"/>
    </row>
    <row r="31" spans="1:1">
      <c r="A31" s="111"/>
    </row>
    <row r="37" spans="1:4">
      <c r="A37" s="111"/>
    </row>
    <row r="42" spans="1:4" ht="15.75">
      <c r="A42" s="203" t="s">
        <v>178</v>
      </c>
      <c r="B42" s="203"/>
      <c r="C42" s="203"/>
      <c r="D42" s="203"/>
    </row>
    <row r="43" spans="1:4">
      <c r="A43" t="s">
        <v>179</v>
      </c>
    </row>
    <row r="44" spans="1:4">
      <c r="A44" s="107" t="s">
        <v>180</v>
      </c>
    </row>
  </sheetData>
  <mergeCells count="3">
    <mergeCell ref="A42:D4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79CA4-CEAB-4A37-A027-2209CDDEF0B2}">
  <sheetPr>
    <tabColor rgb="FF7C7871"/>
  </sheetPr>
  <dimension ref="A1:F54"/>
  <sheetViews>
    <sheetView workbookViewId="0">
      <selection sqref="A1:F1"/>
    </sheetView>
  </sheetViews>
  <sheetFormatPr defaultRowHeight="15"/>
  <cols>
    <col min="1" max="1" width="91.42578125" customWidth="1"/>
    <col min="2" max="2" width="61" customWidth="1"/>
    <col min="3" max="3" width="53.28515625" customWidth="1"/>
    <col min="4" max="4" width="80" customWidth="1"/>
    <col min="5" max="5" width="91.42578125" customWidth="1"/>
    <col min="6" max="6" width="68.5703125" customWidth="1"/>
  </cols>
  <sheetData>
    <row r="1" spans="1:6" ht="23.25" customHeight="1">
      <c r="A1" s="188" t="s">
        <v>181</v>
      </c>
      <c r="B1" s="149"/>
      <c r="C1" s="149"/>
      <c r="D1" s="149"/>
      <c r="E1" s="149"/>
      <c r="F1" s="149"/>
    </row>
    <row r="2" spans="1:6">
      <c r="A2" s="207" t="s">
        <v>182</v>
      </c>
      <c r="B2" s="205"/>
      <c r="C2" s="205"/>
      <c r="D2" s="205"/>
      <c r="E2" s="205"/>
      <c r="F2" s="205"/>
    </row>
    <row r="4" spans="1:6">
      <c r="A4" s="16" t="s">
        <v>183</v>
      </c>
      <c r="B4" s="16" t="s">
        <v>184</v>
      </c>
      <c r="C4" s="16" t="s">
        <v>185</v>
      </c>
      <c r="D4" s="16" t="s">
        <v>186</v>
      </c>
      <c r="E4" s="16" t="s">
        <v>187</v>
      </c>
      <c r="F4" s="16" t="s">
        <v>188</v>
      </c>
    </row>
    <row r="5" spans="1:6">
      <c r="A5" s="22" t="s">
        <v>189</v>
      </c>
      <c r="B5" s="22" t="s">
        <v>190</v>
      </c>
      <c r="C5" t="s">
        <v>191</v>
      </c>
      <c r="D5" t="s">
        <v>192</v>
      </c>
      <c r="E5" t="s">
        <v>98</v>
      </c>
      <c r="F5" t="s">
        <v>193</v>
      </c>
    </row>
    <row r="6" spans="1:6">
      <c r="A6" s="23" t="s">
        <v>194</v>
      </c>
      <c r="B6" s="23" t="s">
        <v>195</v>
      </c>
      <c r="C6" s="6" t="s">
        <v>196</v>
      </c>
      <c r="D6" s="6" t="s">
        <v>197</v>
      </c>
      <c r="E6" s="6" t="s">
        <v>198</v>
      </c>
      <c r="F6" s="6" t="s">
        <v>199</v>
      </c>
    </row>
    <row r="7" spans="1:6">
      <c r="A7" s="24" t="s">
        <v>200</v>
      </c>
      <c r="B7" s="24" t="s">
        <v>201</v>
      </c>
      <c r="C7" s="6" t="s">
        <v>202</v>
      </c>
      <c r="D7" s="6" t="s">
        <v>203</v>
      </c>
      <c r="E7" s="6" t="s">
        <v>204</v>
      </c>
      <c r="F7" s="6" t="s">
        <v>205</v>
      </c>
    </row>
    <row r="8" spans="1:6">
      <c r="A8" s="25" t="s">
        <v>206</v>
      </c>
      <c r="B8" s="25" t="s">
        <v>207</v>
      </c>
      <c r="C8" s="6" t="s">
        <v>208</v>
      </c>
      <c r="D8" s="6" t="s">
        <v>209</v>
      </c>
      <c r="E8" s="6" t="s">
        <v>210</v>
      </c>
      <c r="F8" s="6" t="s">
        <v>211</v>
      </c>
    </row>
    <row r="10" spans="1:6" ht="18.75">
      <c r="A10" s="17" t="s">
        <v>212</v>
      </c>
    </row>
    <row r="11" spans="1:6">
      <c r="A11" s="15" t="s">
        <v>213</v>
      </c>
      <c r="B11" s="15" t="s">
        <v>214</v>
      </c>
      <c r="C11" s="15" t="s">
        <v>215</v>
      </c>
      <c r="D11" s="15" t="s">
        <v>216</v>
      </c>
    </row>
    <row r="12" spans="1:6">
      <c r="A12" s="18">
        <v>1</v>
      </c>
      <c r="B12" s="18" t="s">
        <v>217</v>
      </c>
      <c r="C12" s="32" t="s">
        <v>11</v>
      </c>
      <c r="D12" s="18" t="s">
        <v>218</v>
      </c>
    </row>
    <row r="13" spans="1:6">
      <c r="A13" s="18">
        <v>2</v>
      </c>
      <c r="B13" s="18" t="s">
        <v>219</v>
      </c>
      <c r="C13" s="32" t="s">
        <v>220</v>
      </c>
      <c r="D13" s="18" t="s">
        <v>221</v>
      </c>
    </row>
    <row r="14" spans="1:6">
      <c r="A14" s="18">
        <v>3</v>
      </c>
      <c r="B14" s="18" t="s">
        <v>222</v>
      </c>
      <c r="C14" s="32" t="s">
        <v>223</v>
      </c>
      <c r="D14" s="18" t="s">
        <v>193</v>
      </c>
    </row>
    <row r="15" spans="1:6">
      <c r="A15" s="18">
        <v>4</v>
      </c>
      <c r="B15" s="18" t="s">
        <v>224</v>
      </c>
      <c r="C15" s="33" t="s">
        <v>225</v>
      </c>
      <c r="D15" s="18" t="s">
        <v>226</v>
      </c>
    </row>
    <row r="16" spans="1:6">
      <c r="A16" s="18">
        <v>5</v>
      </c>
      <c r="B16" s="18" t="s">
        <v>227</v>
      </c>
      <c r="C16" s="33" t="s">
        <v>228</v>
      </c>
      <c r="D16" s="18" t="s">
        <v>193</v>
      </c>
    </row>
    <row r="17" spans="1:6">
      <c r="A17" s="18">
        <v>6</v>
      </c>
      <c r="B17" s="18" t="s">
        <v>229</v>
      </c>
      <c r="C17" s="34" t="s">
        <v>230</v>
      </c>
      <c r="D17" s="18" t="s">
        <v>231</v>
      </c>
    </row>
    <row r="18" spans="1:6">
      <c r="A18" s="18">
        <v>7</v>
      </c>
      <c r="B18" s="18" t="s">
        <v>232</v>
      </c>
      <c r="C18" s="34" t="s">
        <v>233</v>
      </c>
      <c r="D18" s="18" t="s">
        <v>234</v>
      </c>
    </row>
    <row r="19" spans="1:6">
      <c r="A19" s="18">
        <v>8</v>
      </c>
      <c r="B19" s="18" t="s">
        <v>235</v>
      </c>
      <c r="C19" s="34" t="s">
        <v>236</v>
      </c>
      <c r="D19" s="18" t="s">
        <v>193</v>
      </c>
    </row>
    <row r="20" spans="1:6">
      <c r="A20" s="18">
        <v>9</v>
      </c>
      <c r="B20" s="18" t="s">
        <v>237</v>
      </c>
      <c r="C20" s="34" t="s">
        <v>238</v>
      </c>
      <c r="D20" s="18" t="s">
        <v>193</v>
      </c>
    </row>
    <row r="22" spans="1:6" ht="18.75">
      <c r="A22" s="19" t="s">
        <v>239</v>
      </c>
    </row>
    <row r="23" spans="1:6">
      <c r="A23" s="208" t="s">
        <v>240</v>
      </c>
      <c r="B23" s="204"/>
      <c r="C23" s="204"/>
      <c r="D23" s="204"/>
      <c r="E23" s="204"/>
      <c r="F23" s="204"/>
    </row>
    <row r="25" spans="1:6" ht="18.75">
      <c r="A25" s="20" t="s">
        <v>241</v>
      </c>
    </row>
    <row r="26" spans="1:6" ht="15.75">
      <c r="A26" s="209" t="s">
        <v>242</v>
      </c>
      <c r="B26" s="209"/>
      <c r="C26" s="209"/>
      <c r="D26" s="209"/>
      <c r="E26" s="209"/>
      <c r="F26" s="209"/>
    </row>
    <row r="28" spans="1:6" ht="15.75">
      <c r="A28" s="26" t="s">
        <v>243</v>
      </c>
    </row>
    <row r="29" spans="1:6">
      <c r="A29" s="27" t="s">
        <v>244</v>
      </c>
      <c r="B29" t="s">
        <v>245</v>
      </c>
    </row>
    <row r="30" spans="1:6">
      <c r="A30" s="28" t="s">
        <v>246</v>
      </c>
      <c r="B30" t="s">
        <v>247</v>
      </c>
    </row>
    <row r="31" spans="1:6">
      <c r="A31" s="29" t="s">
        <v>248</v>
      </c>
      <c r="B31" t="s">
        <v>249</v>
      </c>
    </row>
    <row r="32" spans="1:6">
      <c r="A32" s="22" t="s">
        <v>250</v>
      </c>
      <c r="B32" t="s">
        <v>251</v>
      </c>
    </row>
    <row r="33" spans="1:2">
      <c r="A33" s="30" t="s">
        <v>252</v>
      </c>
      <c r="B33" t="s">
        <v>253</v>
      </c>
    </row>
    <row r="34" spans="1:2">
      <c r="A34" s="31" t="s">
        <v>254</v>
      </c>
      <c r="B34" t="s">
        <v>255</v>
      </c>
    </row>
    <row r="36" spans="1:2" ht="15.75">
      <c r="A36" s="39" t="s">
        <v>256</v>
      </c>
    </row>
    <row r="37" spans="1:2">
      <c r="A37" t="s">
        <v>257</v>
      </c>
    </row>
    <row r="38" spans="1:2">
      <c r="A38" t="s">
        <v>258</v>
      </c>
    </row>
    <row r="39" spans="1:2">
      <c r="A39" t="s">
        <v>259</v>
      </c>
    </row>
    <row r="40" spans="1:2">
      <c r="A40" t="s">
        <v>260</v>
      </c>
    </row>
    <row r="41" spans="1:2">
      <c r="A41" t="s">
        <v>261</v>
      </c>
    </row>
    <row r="43" spans="1:2" ht="15.75">
      <c r="A43" s="39" t="s">
        <v>262</v>
      </c>
    </row>
    <row r="44" spans="1:2">
      <c r="A44" t="s">
        <v>263</v>
      </c>
    </row>
    <row r="45" spans="1:2">
      <c r="A45" t="s">
        <v>264</v>
      </c>
    </row>
    <row r="46" spans="1:2">
      <c r="A46" t="s">
        <v>265</v>
      </c>
    </row>
    <row r="47" spans="1:2">
      <c r="A47" t="s">
        <v>266</v>
      </c>
    </row>
    <row r="49" spans="1:1" ht="15.75">
      <c r="A49" s="39" t="s">
        <v>267</v>
      </c>
    </row>
    <row r="50" spans="1:1">
      <c r="A50" t="s">
        <v>268</v>
      </c>
    </row>
    <row r="51" spans="1:1">
      <c r="A51" t="s">
        <v>269</v>
      </c>
    </row>
    <row r="52" spans="1:1">
      <c r="A52" t="s">
        <v>270</v>
      </c>
    </row>
    <row r="53" spans="1:1">
      <c r="A53" t="s">
        <v>271</v>
      </c>
    </row>
    <row r="54" spans="1:1">
      <c r="A54" t="s">
        <v>272</v>
      </c>
    </row>
  </sheetData>
  <mergeCells count="4">
    <mergeCell ref="A1:F1"/>
    <mergeCell ref="A2:F2"/>
    <mergeCell ref="A23:F23"/>
    <mergeCell ref="A26:F2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E9923-9929-4545-AD29-C3E37B6B0B31}">
  <sheetPr>
    <tabColor rgb="FF3A414F"/>
  </sheetPr>
  <dimension ref="A1:E88"/>
  <sheetViews>
    <sheetView workbookViewId="0">
      <selection sqref="A1:D1"/>
    </sheetView>
  </sheetViews>
  <sheetFormatPr defaultRowHeight="15"/>
  <cols>
    <col min="1" max="1" width="80" customWidth="1"/>
    <col min="3" max="3" width="64.7109375" customWidth="1"/>
  </cols>
  <sheetData>
    <row r="1" spans="1:5" ht="21">
      <c r="A1" s="74" t="s">
        <v>273</v>
      </c>
      <c r="B1" s="74"/>
      <c r="C1" s="74"/>
      <c r="D1" s="74"/>
    </row>
    <row r="2" spans="1:5">
      <c r="A2" s="207" t="s">
        <v>274</v>
      </c>
      <c r="B2" s="207"/>
      <c r="C2" s="207"/>
      <c r="D2" s="207"/>
    </row>
    <row r="3" spans="1:5">
      <c r="A3" s="36" t="s">
        <v>275</v>
      </c>
      <c r="B3" s="89" t="s">
        <v>276</v>
      </c>
      <c r="C3" s="89" t="s">
        <v>277</v>
      </c>
      <c r="D3" s="89" t="s">
        <v>278</v>
      </c>
      <c r="E3" s="89" t="s">
        <v>279</v>
      </c>
    </row>
    <row r="4" spans="1:5" ht="15.75">
      <c r="A4" s="165" t="s">
        <v>280</v>
      </c>
      <c r="B4" s="88" t="str">
        <f>IFERROR('Portfolio Roll-up'!B13,"set B13")</f>
        <v>2026-03</v>
      </c>
      <c r="C4" s="179" t="s">
        <v>281</v>
      </c>
      <c r="D4" s="180" t="s">
        <v>282</v>
      </c>
      <c r="E4" s="166" t="s">
        <v>283</v>
      </c>
    </row>
    <row r="5" spans="1:5">
      <c r="A5" s="167" t="s">
        <v>284</v>
      </c>
      <c r="B5" s="168" t="s">
        <v>285</v>
      </c>
      <c r="C5" s="168">
        <f>IFERROR(SUM(TablePortfolio[ARR ($k)]),0)</f>
        <v>600</v>
      </c>
      <c r="D5" s="168">
        <f>IFERROR('Portfolio Roll-up'!E17,0)</f>
        <v>600</v>
      </c>
      <c r="E5" s="169" t="str">
        <f>IF(ABS(C5-D5)&lt;0.05,"FRESH","STALE")</f>
        <v>FRESH</v>
      </c>
    </row>
    <row r="6" spans="1:5">
      <c r="A6" s="175" t="s">
        <v>286</v>
      </c>
      <c r="B6" s="176" t="s">
        <v>285</v>
      </c>
      <c r="C6" s="170">
        <f>IFERROR(SUM(TablePortfolio[Net Burn ($k)]),0)</f>
        <v>75</v>
      </c>
      <c r="D6" s="176">
        <f>IFERROR('Portfolio Roll-up'!E23,0)</f>
        <v>75</v>
      </c>
      <c r="E6" s="171" t="str">
        <f>IF(ABS(C6-D6)&lt;0.05,"FRESH","STALE")</f>
        <v>FRESH</v>
      </c>
    </row>
    <row r="7" spans="1:5">
      <c r="A7" s="177" t="s">
        <v>287</v>
      </c>
      <c r="B7" s="178" t="s">
        <v>285</v>
      </c>
      <c r="C7" s="172">
        <f>IFERROR(SUM(TablePortfolio[Cash ($k)]),0)</f>
        <v>1170</v>
      </c>
      <c r="D7" s="178">
        <f>IFERROR('Portfolio Roll-up'!E24,0)</f>
        <v>1170</v>
      </c>
      <c r="E7" s="169" t="str">
        <f>IF(ABS(C7-D7)&lt;0.05,"FRESH","STALE")</f>
        <v>FRESH</v>
      </c>
    </row>
    <row r="8" spans="1:5">
      <c r="A8" s="171" t="s">
        <v>288</v>
      </c>
      <c r="B8" s="171" t="s">
        <v>289</v>
      </c>
      <c r="C8" s="173"/>
      <c r="D8" s="171"/>
      <c r="E8" s="171" t="str">
        <f>IF(COUNTIF(E5:E7,"STALE")=0,"✓ FRESH — OK for firm review","✗ STALE — fix before firm review")</f>
        <v>✓ FRESH — OK for firm review</v>
      </c>
    </row>
    <row r="9" spans="1:5">
      <c r="A9" t="s">
        <v>290</v>
      </c>
      <c r="B9">
        <f>IFERROR(COUNTIF(TableActive[Status],"Blocked"),0)</f>
        <v>1</v>
      </c>
      <c r="C9" s="3">
        <v>2</v>
      </c>
      <c r="D9" t="str">
        <f>IF(B9&lt;=C9,"OK","Escalate")</f>
        <v>OK</v>
      </c>
    </row>
    <row r="10" spans="1:5" ht="15.75">
      <c r="A10" s="203" t="s">
        <v>291</v>
      </c>
      <c r="B10" s="203"/>
      <c r="C10" s="203"/>
      <c r="D10" s="203"/>
    </row>
    <row r="11" spans="1:5">
      <c r="A11" s="22" t="s">
        <v>292</v>
      </c>
      <c r="B11" s="22" t="s">
        <v>293</v>
      </c>
      <c r="C11" s="22" t="s">
        <v>294</v>
      </c>
      <c r="D11" s="22" t="s">
        <v>279</v>
      </c>
    </row>
    <row r="12" spans="1:5">
      <c r="A12" t="s">
        <v>295</v>
      </c>
      <c r="B12">
        <f>IFERROR(COUNTA(TablePipeline[Lead ID]),0)</f>
        <v>5</v>
      </c>
      <c r="C12" s="3">
        <v>25</v>
      </c>
      <c r="D12" t="str">
        <f>IF(B12&gt;=C12,"On track",IF(B12&gt;=C12*0.7,"Watch","Low"))</f>
        <v>Low</v>
      </c>
    </row>
    <row r="13" spans="1:5">
      <c r="A13" t="s">
        <v>296</v>
      </c>
      <c r="B13">
        <f>IFERROR(COUNTIF(TablePipeline[Pipeline Stage],"Ready for DD"),0)</f>
        <v>1</v>
      </c>
      <c r="C13" s="3">
        <v>3</v>
      </c>
      <c r="D13" t="str">
        <f>IF(B13&gt;=C13,"On track",IF(B13&gt;=1,"Watch","Low"))</f>
        <v>Watch</v>
      </c>
    </row>
    <row r="14" spans="1:5">
      <c r="A14" t="s">
        <v>297</v>
      </c>
      <c r="B14">
        <f>IFERROR(COUNTA(TableActive[ID]),0)</f>
        <v>6</v>
      </c>
      <c r="C14" s="3">
        <v>40</v>
      </c>
      <c r="D14" t="str">
        <f>IF(B14&lt;=C14,"On track","Heavy load")</f>
        <v>On track</v>
      </c>
    </row>
    <row r="15" spans="1:5">
      <c r="A15" t="s">
        <v>290</v>
      </c>
      <c r="B15">
        <f>IFERROR(COUNTIF(TableActive[Status],"Blocked"),0)</f>
        <v>1</v>
      </c>
      <c r="C15" s="3">
        <v>2</v>
      </c>
      <c r="D15" t="str">
        <f>IF(B15&lt;=C15,"OK","Escalate")</f>
        <v>OK</v>
      </c>
    </row>
    <row r="16" spans="1:5" ht="15.75">
      <c r="A16" s="203" t="s">
        <v>298</v>
      </c>
      <c r="B16" s="203"/>
      <c r="C16" s="210"/>
      <c r="D16" t="str">
        <f>IF(B16&gt;=1,"Active","Idle")</f>
        <v>Idle</v>
      </c>
    </row>
    <row r="17" spans="1:4">
      <c r="A17" s="22" t="s">
        <v>299</v>
      </c>
      <c r="B17" s="22">
        <f>IFERROR(COUNTIF(TableDeal[Execution Stage],"Closing Conditions")+COUNTIF(TableDeal[Execution Stage],"Signing Ready"),0)</f>
        <v>0</v>
      </c>
      <c r="C17" s="86">
        <v>1</v>
      </c>
      <c r="D17" t="str">
        <f>IF(B17&gt;=C17,"On track",IF(B17=0,"None","Watch"))</f>
        <v>None</v>
      </c>
    </row>
    <row r="18" spans="1:4">
      <c r="A18" t="s">
        <v>300</v>
      </c>
      <c r="B18" s="40">
        <f>IFERROR(COUNTIF(TableDealClosed[Outcome],"Wired / Closed"),0)</f>
        <v>1</v>
      </c>
      <c r="C18" s="3">
        <v>5</v>
      </c>
      <c r="D18" t="str">
        <f>IF(B18&gt;=C18,"On track","Building")</f>
        <v>Building</v>
      </c>
    </row>
    <row r="19" spans="1:4">
      <c r="A19" t="s">
        <v>301</v>
      </c>
      <c r="B19" s="40">
        <f>IFERROR(COUNTIF(TablePipelineClosed[Outcome],"Pass"),0)</f>
        <v>1</v>
      </c>
      <c r="C19" s="3"/>
      <c r="D19" t="s">
        <v>193</v>
      </c>
    </row>
    <row r="20" spans="1:4">
      <c r="A20" t="s">
        <v>302</v>
      </c>
      <c r="B20">
        <f>IFERROR(COUNTIF(TablePipelineClosed[Outcome],"Advanced to DD"),0)</f>
        <v>1</v>
      </c>
      <c r="C20" s="3"/>
      <c r="D20" t="s">
        <v>193</v>
      </c>
    </row>
    <row r="21" spans="1:4" ht="15.75">
      <c r="A21" s="203" t="s">
        <v>303</v>
      </c>
      <c r="B21" s="203"/>
      <c r="C21" s="203"/>
    </row>
    <row r="22" spans="1:4">
      <c r="A22" s="22" t="s">
        <v>292</v>
      </c>
      <c r="B22" s="22" t="s">
        <v>304</v>
      </c>
      <c r="C22" s="22" t="s">
        <v>305</v>
      </c>
    </row>
    <row r="23" spans="1:4">
      <c r="A23" t="s">
        <v>306</v>
      </c>
      <c r="B23" s="40">
        <f>IFERROR(B20/MAX(B19+B20,1),0)</f>
        <v>0.5</v>
      </c>
      <c r="C23" t="s">
        <v>307</v>
      </c>
    </row>
    <row r="24" spans="1:4" ht="15.75">
      <c r="A24" s="211" t="s">
        <v>308</v>
      </c>
      <c r="B24" s="212"/>
      <c r="C24" t="s">
        <v>309</v>
      </c>
    </row>
    <row r="25" spans="1:4">
      <c r="A25" s="22" t="s">
        <v>310</v>
      </c>
      <c r="B25" s="22">
        <f>IFERROR(COUNTIF(TableActive[Priority],"Critical"),0)</f>
        <v>3</v>
      </c>
      <c r="C25" t="s">
        <v>311</v>
      </c>
    </row>
    <row r="26" spans="1:4">
      <c r="A26" t="s">
        <v>312</v>
      </c>
      <c r="B26" s="41">
        <f>IFERROR(COUNTA(TableLeadTasks[Task ID]),0)</f>
        <v>4</v>
      </c>
      <c r="C26" t="s">
        <v>313</v>
      </c>
    </row>
    <row r="27" spans="1:4">
      <c r="A27" t="s">
        <v>314</v>
      </c>
      <c r="B27" s="41">
        <f>IFERROR(COUNTA(TableDealTasks[Task ID]),0)</f>
        <v>3</v>
      </c>
      <c r="C27" t="s">
        <v>315</v>
      </c>
    </row>
    <row r="28" spans="1:4">
      <c r="A28" t="s">
        <v>316</v>
      </c>
      <c r="B28" s="41">
        <f>IFERROR(SUMIF(TableDealClosed[Outcome],"Wired / Closed",TableDealClosed[Check Size ($k)]),0)</f>
        <v>750</v>
      </c>
    </row>
    <row r="30" spans="1:4" ht="15.75">
      <c r="A30" s="203" t="s">
        <v>317</v>
      </c>
      <c r="B30" s="203"/>
      <c r="C30" s="203"/>
      <c r="D30" s="203"/>
    </row>
    <row r="31" spans="1:4">
      <c r="A31" s="22" t="s">
        <v>27</v>
      </c>
      <c r="B31" s="22" t="s">
        <v>28</v>
      </c>
      <c r="C31" s="22" t="s">
        <v>318</v>
      </c>
      <c r="D31" s="22" t="s">
        <v>29</v>
      </c>
    </row>
    <row r="32" spans="1:4">
      <c r="A32" t="s">
        <v>319</v>
      </c>
      <c r="B32" t="s">
        <v>33</v>
      </c>
      <c r="C32" t="s">
        <v>320</v>
      </c>
      <c r="D32" t="s">
        <v>321</v>
      </c>
    </row>
    <row r="33" spans="1:5">
      <c r="A33" t="s">
        <v>322</v>
      </c>
      <c r="B33" t="s">
        <v>38</v>
      </c>
      <c r="C33" t="s">
        <v>323</v>
      </c>
      <c r="D33" t="s">
        <v>225</v>
      </c>
    </row>
    <row r="34" spans="1:5">
      <c r="A34" t="s">
        <v>324</v>
      </c>
      <c r="B34" t="s">
        <v>43</v>
      </c>
      <c r="C34" t="s">
        <v>325</v>
      </c>
      <c r="D34" t="s">
        <v>326</v>
      </c>
    </row>
    <row r="35" spans="1:5">
      <c r="A35" t="s">
        <v>56</v>
      </c>
      <c r="B35" t="s">
        <v>57</v>
      </c>
      <c r="C35" t="s">
        <v>55</v>
      </c>
      <c r="D35" t="s">
        <v>233</v>
      </c>
    </row>
    <row r="36" spans="1:5">
      <c r="A36" t="s">
        <v>51</v>
      </c>
      <c r="B36" t="s">
        <v>79</v>
      </c>
      <c r="C36" t="s">
        <v>50</v>
      </c>
      <c r="D36" t="s">
        <v>53</v>
      </c>
    </row>
    <row r="38" spans="1:5" ht="15.75">
      <c r="A38" s="203" t="s">
        <v>327</v>
      </c>
      <c r="B38" s="203"/>
      <c r="C38" s="203"/>
      <c r="D38" s="203"/>
    </row>
    <row r="39" spans="1:5">
      <c r="A39" s="204" t="s">
        <v>328</v>
      </c>
      <c r="B39" s="204"/>
      <c r="C39" s="204"/>
      <c r="D39" s="204"/>
    </row>
    <row r="40" spans="1:5">
      <c r="A40" s="204" t="s">
        <v>329</v>
      </c>
      <c r="B40" s="204"/>
      <c r="C40" s="204"/>
      <c r="D40" s="204"/>
    </row>
    <row r="41" spans="1:5">
      <c r="A41" s="204" t="s">
        <v>330</v>
      </c>
      <c r="B41" s="204"/>
      <c r="C41" s="204"/>
      <c r="D41" s="204"/>
    </row>
    <row r="42" spans="1:5">
      <c r="A42" s="204" t="s">
        <v>331</v>
      </c>
      <c r="B42" s="204"/>
      <c r="C42" s="204"/>
      <c r="D42" s="204"/>
    </row>
    <row r="43" spans="1:5" ht="15.75">
      <c r="A43" s="206" t="s">
        <v>332</v>
      </c>
      <c r="B43" s="206"/>
      <c r="C43" s="206"/>
      <c r="D43" s="206"/>
      <c r="E43" s="206"/>
    </row>
    <row r="44" spans="1:5">
      <c r="A44" s="107" t="s">
        <v>333</v>
      </c>
      <c r="B44">
        <f>IFERROR(COUNTIF(TablePortfolio[Health],"On Track"),0)</f>
        <v>3</v>
      </c>
      <c r="C44" t="s">
        <v>334</v>
      </c>
    </row>
    <row r="45" spans="1:5">
      <c r="A45" s="112" t="s">
        <v>334</v>
      </c>
      <c r="B45" s="112" t="s">
        <v>293</v>
      </c>
      <c r="C45" s="112" t="s">
        <v>335</v>
      </c>
      <c r="D45" s="112" t="s">
        <v>336</v>
      </c>
      <c r="E45" s="112" t="s">
        <v>337</v>
      </c>
    </row>
    <row r="46" spans="1:5">
      <c r="A46" s="61" t="s">
        <v>338</v>
      </c>
      <c r="B46" s="154">
        <f>IFERROR(COUNTIF(TablePortfolio[Health],"On Track"),0)</f>
        <v>3</v>
      </c>
      <c r="C46" s="155">
        <f>IFERROR(B46/MAX(B50,1),0)</f>
        <v>1</v>
      </c>
      <c r="D46" s="104" t="s">
        <v>339</v>
      </c>
      <c r="E46" s="104" t="s">
        <v>53</v>
      </c>
    </row>
    <row r="47" spans="1:5">
      <c r="A47" s="136" t="s">
        <v>340</v>
      </c>
      <c r="B47" s="154">
        <f>IFERROR(COUNTIF(TablePortfolio[Health],"Watch"),0)</f>
        <v>0</v>
      </c>
      <c r="C47" s="155">
        <f>IFERROR(B47/MAX(B50,1),0)</f>
        <v>0</v>
      </c>
      <c r="D47" s="104" t="s">
        <v>341</v>
      </c>
      <c r="E47" s="104" t="s">
        <v>53</v>
      </c>
    </row>
    <row r="48" spans="1:5">
      <c r="A48" s="133" t="s">
        <v>342</v>
      </c>
      <c r="B48" s="154">
        <f>IFERROR(COUNTIF(TablePortfolio[Health],"At Risk"),0)</f>
        <v>0</v>
      </c>
      <c r="C48" s="155">
        <f>IFERROR(B48/MAX(B50,1),0)</f>
        <v>0</v>
      </c>
      <c r="D48" s="104" t="s">
        <v>343</v>
      </c>
      <c r="E48" s="104" t="s">
        <v>53</v>
      </c>
    </row>
    <row r="49" spans="1:5">
      <c r="A49" s="131" t="s">
        <v>344</v>
      </c>
      <c r="B49" s="154">
        <f>IFERROR(COUNTIF(TablePortfolio[Health],"Critical"),0)</f>
        <v>0</v>
      </c>
      <c r="C49" s="155">
        <f>IFERROR(B49/MAX(B50,1),0)</f>
        <v>0</v>
      </c>
      <c r="D49" s="104" t="s">
        <v>345</v>
      </c>
      <c r="E49" s="104" t="s">
        <v>53</v>
      </c>
    </row>
    <row r="50" spans="1:5">
      <c r="A50" s="2" t="s">
        <v>346</v>
      </c>
      <c r="B50" s="153">
        <f>IFERROR(COUNTA(TablePortfolio[PF ID]),0)</f>
        <v>3</v>
      </c>
      <c r="C50" s="155">
        <f>1</f>
        <v>1</v>
      </c>
      <c r="D50" s="104" t="s">
        <v>347</v>
      </c>
      <c r="E50" s="104" t="s">
        <v>53</v>
      </c>
    </row>
    <row r="51" spans="1:5">
      <c r="A51" s="2" t="s">
        <v>348</v>
      </c>
      <c r="B51" s="153">
        <f>B48+B49</f>
        <v>0</v>
      </c>
      <c r="C51" s="155">
        <f>IFERROR(B51/MAX(B50,1),0)</f>
        <v>0</v>
      </c>
      <c r="D51" s="104" t="str">
        <f>IF(B51=0,"Clear","OPEN — see Portfolio Active filter")</f>
        <v>Clear</v>
      </c>
      <c r="E51" s="104" t="s">
        <v>349</v>
      </c>
    </row>
    <row r="53" spans="1:5" ht="15.75">
      <c r="A53" s="206" t="s">
        <v>350</v>
      </c>
      <c r="B53" s="206"/>
      <c r="C53" s="206"/>
      <c r="D53" s="206"/>
    </row>
    <row r="54" spans="1:5">
      <c r="A54" s="112" t="s">
        <v>292</v>
      </c>
      <c r="B54" s="112" t="s">
        <v>304</v>
      </c>
      <c r="C54" s="112" t="s">
        <v>305</v>
      </c>
      <c r="D54" s="112" t="s">
        <v>351</v>
      </c>
    </row>
    <row r="55" spans="1:5">
      <c r="A55" s="108" t="s">
        <v>352</v>
      </c>
      <c r="B55" s="156">
        <f>IFERROR('Portfolio Roll-up'!E17,0)</f>
        <v>600</v>
      </c>
      <c r="C55" s="104" t="s">
        <v>353</v>
      </c>
      <c r="D55" s="104" t="s">
        <v>354</v>
      </c>
    </row>
    <row r="56" spans="1:5">
      <c r="A56" s="108" t="s">
        <v>355</v>
      </c>
      <c r="B56" s="155">
        <f>IFERROR('Portfolio Roll-up'!E20,0)</f>
        <v>0.80833333333333335</v>
      </c>
      <c r="C56" s="104" t="s">
        <v>356</v>
      </c>
      <c r="D56" s="104" t="s">
        <v>357</v>
      </c>
    </row>
    <row r="57" spans="1:5">
      <c r="A57" s="108" t="s">
        <v>358</v>
      </c>
      <c r="B57" s="156">
        <f>IFERROR('Portfolio Roll-up'!E23,0)</f>
        <v>75</v>
      </c>
      <c r="C57" s="104" t="s">
        <v>359</v>
      </c>
      <c r="D57" s="104" t="s">
        <v>360</v>
      </c>
    </row>
    <row r="58" spans="1:5">
      <c r="A58" s="108" t="s">
        <v>361</v>
      </c>
      <c r="B58" s="156">
        <f>IFERROR('Portfolio Roll-up'!E24,0)</f>
        <v>1170</v>
      </c>
      <c r="C58" s="104" t="s">
        <v>362</v>
      </c>
      <c r="D58" s="104" t="s">
        <v>363</v>
      </c>
    </row>
    <row r="59" spans="1:5">
      <c r="A59" s="108" t="s">
        <v>364</v>
      </c>
      <c r="B59" s="156">
        <f>IFERROR('Portfolio Roll-up'!F24,0)</f>
        <v>800</v>
      </c>
      <c r="C59" s="104" t="s">
        <v>365</v>
      </c>
      <c r="D59" s="104" t="s">
        <v>366</v>
      </c>
    </row>
    <row r="60" spans="1:5">
      <c r="A60" s="108" t="s">
        <v>367</v>
      </c>
      <c r="B60" s="156">
        <f>IFERROR('Portfolio Roll-up'!G24,0)</f>
        <v>1970</v>
      </c>
      <c r="C60" s="104" t="s">
        <v>368</v>
      </c>
      <c r="D60" s="104" t="s">
        <v>369</v>
      </c>
    </row>
    <row r="61" spans="1:5">
      <c r="A61" s="108" t="s">
        <v>370</v>
      </c>
      <c r="B61" s="104">
        <f>IFERROR('Portfolio Roll-up'!E25,"n/a")</f>
        <v>14</v>
      </c>
      <c r="C61" s="104" t="s">
        <v>371</v>
      </c>
      <c r="D61" s="104" t="s">
        <v>372</v>
      </c>
    </row>
    <row r="62" spans="1:5">
      <c r="A62" s="108" t="s">
        <v>373</v>
      </c>
      <c r="B62" s="104" t="str">
        <f>IFERROR('Portfolio Roll-up'!E26,"n/a")</f>
        <v>ok</v>
      </c>
      <c r="C62" s="104" t="s">
        <v>374</v>
      </c>
      <c r="D62" s="104" t="s">
        <v>375</v>
      </c>
    </row>
    <row r="63" spans="1:5">
      <c r="A63" s="108" t="s">
        <v>376</v>
      </c>
      <c r="B63" s="157">
        <f>IFERROR(SUM(TablePortfolio[ARR ($k)]),0)</f>
        <v>600</v>
      </c>
      <c r="C63" s="104" t="s">
        <v>377</v>
      </c>
      <c r="D63" s="104" t="s">
        <v>378</v>
      </c>
    </row>
    <row r="64" spans="1:5">
      <c r="A64" s="108" t="s">
        <v>379</v>
      </c>
      <c r="B64" s="157">
        <f>IFERROR(SUM(TablePortfolio[Net Burn ($k)]),0)</f>
        <v>75</v>
      </c>
      <c r="C64" s="104" t="s">
        <v>380</v>
      </c>
      <c r="D64" s="104" t="s">
        <v>381</v>
      </c>
    </row>
    <row r="65" spans="1:5">
      <c r="A65" s="108" t="s">
        <v>382</v>
      </c>
      <c r="B65" s="157">
        <f>IFERROR(SUM(TablePortfolio[Cash ($k)]),0)</f>
        <v>1170</v>
      </c>
      <c r="C65" s="104" t="s">
        <v>383</v>
      </c>
      <c r="D65" s="104" t="s">
        <v>384</v>
      </c>
    </row>
    <row r="67" spans="1:5" ht="15.75">
      <c r="A67" s="206" t="s">
        <v>385</v>
      </c>
      <c r="B67" s="206"/>
      <c r="C67" s="206"/>
      <c r="D67" s="206"/>
    </row>
    <row r="68" spans="1:5">
      <c r="A68" s="107" t="s">
        <v>386</v>
      </c>
    </row>
    <row r="69" spans="1:5">
      <c r="A69" t="s">
        <v>387</v>
      </c>
      <c r="B69" s="152">
        <f>B51</f>
        <v>0</v>
      </c>
      <c r="C69" t="str">
        <f>IF(B69=0,"No open At Risk/Critical",IF(B49&gt;0,"CRITICAL present — Visionary path",IF(B48&gt;0,"At Risk present — Partner recovery","Watch only")))</f>
        <v>No open At Risk/Critical</v>
      </c>
    </row>
    <row r="70" spans="1:5">
      <c r="A70" s="202" t="s">
        <v>388</v>
      </c>
      <c r="B70" s="202"/>
      <c r="C70" s="202"/>
      <c r="D70" s="202"/>
      <c r="E70" s="202"/>
    </row>
    <row r="72" spans="1:5" ht="15.75">
      <c r="A72" s="213" t="s">
        <v>389</v>
      </c>
      <c r="B72" s="213"/>
      <c r="C72" s="213"/>
    </row>
    <row r="73" spans="1:5">
      <c r="A73" t="s">
        <v>390</v>
      </c>
      <c r="B73">
        <f>IFERROR(COUNTA(TableMAPipeline[MA ID]),0)</f>
        <v>2</v>
      </c>
      <c r="C73" t="s">
        <v>391</v>
      </c>
    </row>
    <row r="74" spans="1:5">
      <c r="A74" t="s">
        <v>392</v>
      </c>
      <c r="B74">
        <f>IFERROR(COUNTIF(TableMAPipeline[MA Stage],"LOI / Exclusivity"),0)</f>
        <v>1</v>
      </c>
      <c r="C74" t="s">
        <v>393</v>
      </c>
    </row>
    <row r="75" spans="1:5">
      <c r="A75" t="s">
        <v>394</v>
      </c>
      <c r="B75">
        <f>IFERROR(COUNTA(TableMATasks[Task ID]),0)</f>
        <v>2</v>
      </c>
      <c r="C75" t="s">
        <v>395</v>
      </c>
    </row>
    <row r="76" spans="1:5">
      <c r="A76" t="s">
        <v>396</v>
      </c>
      <c r="B76">
        <f>IFERROR(COUNTIF(TableMAClosed[Outcome],"Acquired"),0)</f>
        <v>0</v>
      </c>
      <c r="C76" t="s">
        <v>397</v>
      </c>
    </row>
    <row r="77" spans="1:5">
      <c r="A77" t="s">
        <v>398</v>
      </c>
      <c r="B77">
        <f>IFERROR(COUNTIF(TableMAClosed[Outcome],"Walked"),0)</f>
        <v>1</v>
      </c>
      <c r="C77" t="s">
        <v>399</v>
      </c>
    </row>
    <row r="79" spans="1:5" ht="15.75">
      <c r="A79" s="214" t="s">
        <v>400</v>
      </c>
      <c r="B79" s="214"/>
      <c r="C79" s="214"/>
    </row>
    <row r="80" spans="1:5">
      <c r="A80" t="s">
        <v>401</v>
      </c>
      <c r="B80">
        <f>IFERROR(COUNTA(TableREPipeline[RE ID]),0)</f>
        <v>2</v>
      </c>
      <c r="C80" t="s">
        <v>402</v>
      </c>
    </row>
    <row r="81" spans="1:4">
      <c r="A81" t="s">
        <v>403</v>
      </c>
      <c r="B81">
        <f>IFERROR(COUNTIF(TableREPipeline[Route],"Residential"),0)</f>
        <v>1</v>
      </c>
      <c r="C81" t="s">
        <v>404</v>
      </c>
    </row>
    <row r="82" spans="1:4">
      <c r="A82" t="s">
        <v>405</v>
      </c>
      <c r="B82">
        <f>IFERROR(COUNTIF(TableREPipeline[Route],"Commercial"),0)</f>
        <v>1</v>
      </c>
      <c r="C82" t="s">
        <v>406</v>
      </c>
    </row>
    <row r="83" spans="1:4">
      <c r="A83" t="s">
        <v>407</v>
      </c>
      <c r="B83">
        <f>IFERROR(COUNTIF(TableREPipeline[RE Stage],"LOI / PSA")+COUNTIF(TableREPipeline[RE Stage],"Diligence")+COUNTIF(TableREPipeline[RE Stage],"Closing"),0)</f>
        <v>1</v>
      </c>
      <c r="C83" t="s">
        <v>408</v>
      </c>
    </row>
    <row r="84" spans="1:4">
      <c r="A84" t="s">
        <v>409</v>
      </c>
      <c r="B84">
        <f>IFERROR(COUNTA(TableREPortfolio[PFRE ID]),0)</f>
        <v>1</v>
      </c>
      <c r="C84" t="s">
        <v>410</v>
      </c>
    </row>
    <row r="85" spans="1:4">
      <c r="A85" t="s">
        <v>411</v>
      </c>
      <c r="B85">
        <f>IFERROR(COUNTIF(TableREClosed[Outcome],"Purchased"),0)</f>
        <v>0</v>
      </c>
      <c r="C85" t="s">
        <v>397</v>
      </c>
    </row>
    <row r="87" spans="1:4" ht="15.75">
      <c r="A87" s="203" t="s">
        <v>412</v>
      </c>
      <c r="B87" s="203"/>
      <c r="C87" s="203"/>
      <c r="D87" s="203"/>
    </row>
    <row r="88" spans="1:4">
      <c r="A88" s="207" t="s">
        <v>413</v>
      </c>
      <c r="B88" s="207"/>
      <c r="C88" s="207"/>
      <c r="D88" s="207"/>
    </row>
  </sheetData>
  <mergeCells count="20">
    <mergeCell ref="A79:C79"/>
    <mergeCell ref="A87:D87"/>
    <mergeCell ref="A88:D88"/>
    <mergeCell ref="A70:E70"/>
    <mergeCell ref="A10:D10"/>
    <mergeCell ref="A21:C21"/>
    <mergeCell ref="A43:E43"/>
    <mergeCell ref="A53:D53"/>
    <mergeCell ref="A67:D67"/>
    <mergeCell ref="A72:C72"/>
    <mergeCell ref="A30:D30"/>
    <mergeCell ref="A1:D1"/>
    <mergeCell ref="A2:D2"/>
    <mergeCell ref="A16:C16"/>
    <mergeCell ref="A24:B24"/>
    <mergeCell ref="A38:D38"/>
    <mergeCell ref="A39:D39"/>
    <mergeCell ref="A40:D40"/>
    <mergeCell ref="A41:D41"/>
    <mergeCell ref="A42:D4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91948-F372-4039-9C18-8C67FD79F178}">
  <sheetPr>
    <tabColor rgb="FF3A414F"/>
  </sheetPr>
  <dimension ref="A1:C110"/>
  <sheetViews>
    <sheetView workbookViewId="0">
      <selection activeCell="N7" sqref="N7"/>
    </sheetView>
  </sheetViews>
  <sheetFormatPr defaultRowHeight="15"/>
  <sheetData>
    <row r="1" spans="1:3" ht="23.25">
      <c r="A1" s="186" t="s">
        <v>414</v>
      </c>
      <c r="B1" s="73"/>
      <c r="C1" s="73"/>
    </row>
    <row r="2" spans="1:3">
      <c r="A2" s="132" t="s">
        <v>415</v>
      </c>
      <c r="B2" s="132"/>
      <c r="C2" s="132"/>
    </row>
    <row r="4" spans="1:3" ht="15.75">
      <c r="A4" s="203" t="s">
        <v>416</v>
      </c>
      <c r="B4" s="203"/>
      <c r="C4" s="203"/>
    </row>
    <row r="5" spans="1:3">
      <c r="A5" s="22" t="s">
        <v>118</v>
      </c>
      <c r="B5" s="22" t="s">
        <v>417</v>
      </c>
      <c r="C5" s="22" t="s">
        <v>305</v>
      </c>
    </row>
    <row r="6" spans="1:3">
      <c r="A6" t="s">
        <v>418</v>
      </c>
      <c r="B6" t="s">
        <v>419</v>
      </c>
      <c r="C6" t="s">
        <v>420</v>
      </c>
    </row>
    <row r="7" spans="1:3">
      <c r="A7" t="s">
        <v>421</v>
      </c>
      <c r="B7" t="s">
        <v>422</v>
      </c>
      <c r="C7" t="s">
        <v>423</v>
      </c>
    </row>
    <row r="8" spans="1:3">
      <c r="A8" t="s">
        <v>424</v>
      </c>
      <c r="B8" t="s">
        <v>425</v>
      </c>
      <c r="C8" t="s">
        <v>426</v>
      </c>
    </row>
    <row r="9" spans="1:3">
      <c r="A9" t="s">
        <v>427</v>
      </c>
      <c r="B9" t="s">
        <v>428</v>
      </c>
      <c r="C9" t="s">
        <v>429</v>
      </c>
    </row>
    <row r="10" spans="1:3">
      <c r="A10" t="s">
        <v>430</v>
      </c>
      <c r="B10" t="s">
        <v>431</v>
      </c>
      <c r="C10" t="s">
        <v>432</v>
      </c>
    </row>
    <row r="12" spans="1:3">
      <c r="A12" s="215" t="s">
        <v>433</v>
      </c>
      <c r="B12" s="215"/>
      <c r="C12" s="215"/>
    </row>
    <row r="13" spans="1:3">
      <c r="A13" t="s">
        <v>434</v>
      </c>
    </row>
    <row r="15" spans="1:3" ht="15.75">
      <c r="A15" s="203" t="s">
        <v>435</v>
      </c>
      <c r="B15" s="203"/>
      <c r="C15" s="203"/>
    </row>
    <row r="16" spans="1:3">
      <c r="A16" s="22" t="s">
        <v>436</v>
      </c>
      <c r="B16" s="22" t="s">
        <v>437</v>
      </c>
      <c r="C16" s="22" t="s">
        <v>438</v>
      </c>
    </row>
    <row r="17" spans="1:3">
      <c r="A17" t="s">
        <v>439</v>
      </c>
      <c r="B17" t="s">
        <v>440</v>
      </c>
      <c r="C17" t="s">
        <v>441</v>
      </c>
    </row>
    <row r="18" spans="1:3">
      <c r="A18" t="s">
        <v>442</v>
      </c>
      <c r="B18" t="s">
        <v>443</v>
      </c>
      <c r="C18" t="s">
        <v>444</v>
      </c>
    </row>
    <row r="19" spans="1:3">
      <c r="A19" t="s">
        <v>445</v>
      </c>
      <c r="B19" t="s">
        <v>446</v>
      </c>
      <c r="C19" t="s">
        <v>447</v>
      </c>
    </row>
    <row r="20" spans="1:3">
      <c r="A20" t="s">
        <v>448</v>
      </c>
      <c r="B20" t="s">
        <v>449</v>
      </c>
      <c r="C20" t="s">
        <v>450</v>
      </c>
    </row>
    <row r="21" spans="1:3">
      <c r="A21" t="s">
        <v>451</v>
      </c>
      <c r="B21" t="s">
        <v>452</v>
      </c>
      <c r="C21" t="s">
        <v>453</v>
      </c>
    </row>
    <row r="22" spans="1:3">
      <c r="A22" t="s">
        <v>454</v>
      </c>
      <c r="B22" t="s">
        <v>455</v>
      </c>
      <c r="C22" t="s">
        <v>456</v>
      </c>
    </row>
    <row r="23" spans="1:3">
      <c r="A23" t="s">
        <v>457</v>
      </c>
      <c r="B23" t="s">
        <v>458</v>
      </c>
      <c r="C23" t="s">
        <v>459</v>
      </c>
    </row>
    <row r="24" spans="1:3">
      <c r="A24" t="s">
        <v>460</v>
      </c>
      <c r="B24" t="s">
        <v>461</v>
      </c>
      <c r="C24" t="s">
        <v>462</v>
      </c>
    </row>
    <row r="25" spans="1:3">
      <c r="A25" t="s">
        <v>463</v>
      </c>
      <c r="B25" t="s">
        <v>464</v>
      </c>
      <c r="C25" t="s">
        <v>465</v>
      </c>
    </row>
    <row r="26" spans="1:3">
      <c r="A26" s="207" t="s">
        <v>466</v>
      </c>
      <c r="B26" s="207"/>
      <c r="C26" s="207"/>
    </row>
    <row r="28" spans="1:3" ht="15.75">
      <c r="A28" s="203" t="s">
        <v>467</v>
      </c>
      <c r="B28" s="203"/>
      <c r="C28" s="203"/>
    </row>
    <row r="29" spans="1:3">
      <c r="A29" s="22" t="s">
        <v>69</v>
      </c>
      <c r="B29" s="22" t="s">
        <v>468</v>
      </c>
      <c r="C29" s="22" t="s">
        <v>469</v>
      </c>
    </row>
    <row r="30" spans="1:3">
      <c r="A30" t="s">
        <v>470</v>
      </c>
      <c r="B30" t="s">
        <v>471</v>
      </c>
      <c r="C30" t="s">
        <v>472</v>
      </c>
    </row>
    <row r="31" spans="1:3">
      <c r="A31" t="s">
        <v>38</v>
      </c>
      <c r="B31" t="s">
        <v>473</v>
      </c>
      <c r="C31" t="s">
        <v>474</v>
      </c>
    </row>
    <row r="32" spans="1:3">
      <c r="A32" t="s">
        <v>475</v>
      </c>
      <c r="B32" t="s">
        <v>476</v>
      </c>
      <c r="C32" t="s">
        <v>477</v>
      </c>
    </row>
    <row r="33" spans="1:3">
      <c r="A33" t="s">
        <v>478</v>
      </c>
      <c r="B33" t="s">
        <v>479</v>
      </c>
      <c r="C33" t="s">
        <v>480</v>
      </c>
    </row>
    <row r="34" spans="1:3">
      <c r="A34" t="s">
        <v>481</v>
      </c>
      <c r="B34" t="s">
        <v>482</v>
      </c>
      <c r="C34" t="s">
        <v>483</v>
      </c>
    </row>
    <row r="35" spans="1:3">
      <c r="A35" t="s">
        <v>484</v>
      </c>
      <c r="B35" t="s">
        <v>485</v>
      </c>
      <c r="C35" t="s">
        <v>486</v>
      </c>
    </row>
    <row r="36" spans="1:3">
      <c r="A36" t="s">
        <v>487</v>
      </c>
      <c r="B36" t="s">
        <v>488</v>
      </c>
      <c r="C36" t="s">
        <v>489</v>
      </c>
    </row>
    <row r="37" spans="1:3">
      <c r="A37" t="s">
        <v>76</v>
      </c>
      <c r="B37" t="s">
        <v>490</v>
      </c>
      <c r="C37" t="s">
        <v>491</v>
      </c>
    </row>
    <row r="38" spans="1:3">
      <c r="A38" t="s">
        <v>463</v>
      </c>
      <c r="B38" t="s">
        <v>492</v>
      </c>
      <c r="C38" t="s">
        <v>493</v>
      </c>
    </row>
    <row r="40" spans="1:3" ht="15.75">
      <c r="A40" s="203" t="s">
        <v>494</v>
      </c>
      <c r="B40" s="203"/>
      <c r="C40" s="203"/>
    </row>
    <row r="41" spans="1:3">
      <c r="A41" s="22" t="s">
        <v>495</v>
      </c>
      <c r="B41" s="22" t="s">
        <v>496</v>
      </c>
      <c r="C41" s="22" t="s">
        <v>497</v>
      </c>
    </row>
    <row r="42" spans="1:3">
      <c r="A42" t="s">
        <v>498</v>
      </c>
      <c r="B42" t="s">
        <v>499</v>
      </c>
      <c r="C42" t="s">
        <v>500</v>
      </c>
    </row>
    <row r="43" spans="1:3">
      <c r="A43" t="s">
        <v>501</v>
      </c>
      <c r="B43" t="s">
        <v>502</v>
      </c>
      <c r="C43" t="s">
        <v>503</v>
      </c>
    </row>
    <row r="44" spans="1:3">
      <c r="A44" t="s">
        <v>504</v>
      </c>
      <c r="B44" t="s">
        <v>505</v>
      </c>
      <c r="C44" t="s">
        <v>506</v>
      </c>
    </row>
    <row r="45" spans="1:3">
      <c r="A45" t="s">
        <v>507</v>
      </c>
      <c r="B45" t="s">
        <v>508</v>
      </c>
      <c r="C45" t="s">
        <v>509</v>
      </c>
    </row>
    <row r="46" spans="1:3">
      <c r="A46" t="s">
        <v>510</v>
      </c>
      <c r="B46" t="s">
        <v>511</v>
      </c>
      <c r="C46" t="s">
        <v>512</v>
      </c>
    </row>
    <row r="47" spans="1:3">
      <c r="A47" t="s">
        <v>513</v>
      </c>
      <c r="B47" t="s">
        <v>514</v>
      </c>
      <c r="C47" t="s">
        <v>53</v>
      </c>
    </row>
    <row r="48" spans="1:3">
      <c r="A48" t="s">
        <v>515</v>
      </c>
      <c r="B48" t="s">
        <v>516</v>
      </c>
      <c r="C48" t="s">
        <v>517</v>
      </c>
    </row>
    <row r="49" spans="1:3">
      <c r="A49" t="s">
        <v>518</v>
      </c>
      <c r="B49" t="s">
        <v>519</v>
      </c>
      <c r="C49" t="s">
        <v>520</v>
      </c>
    </row>
    <row r="50" spans="1:3">
      <c r="A50" t="s">
        <v>521</v>
      </c>
      <c r="B50" t="s">
        <v>522</v>
      </c>
      <c r="C50" t="s">
        <v>523</v>
      </c>
    </row>
    <row r="51" spans="1:3">
      <c r="A51" t="s">
        <v>524</v>
      </c>
      <c r="B51" t="s">
        <v>525</v>
      </c>
      <c r="C51" t="s">
        <v>526</v>
      </c>
    </row>
    <row r="52" spans="1:3">
      <c r="A52" t="s">
        <v>527</v>
      </c>
      <c r="B52" t="s">
        <v>528</v>
      </c>
      <c r="C52" t="s">
        <v>529</v>
      </c>
    </row>
    <row r="53" spans="1:3">
      <c r="A53" s="107" t="s">
        <v>530</v>
      </c>
      <c r="B53" s="107" t="s">
        <v>531</v>
      </c>
      <c r="C53" s="107" t="s">
        <v>532</v>
      </c>
    </row>
    <row r="54" spans="1:3">
      <c r="A54" s="207" t="s">
        <v>533</v>
      </c>
      <c r="B54" s="207"/>
      <c r="C54" s="207"/>
    </row>
    <row r="55" spans="1:3" ht="15.75">
      <c r="A55" s="39"/>
      <c r="B55" s="39"/>
      <c r="C55" s="39"/>
    </row>
    <row r="56" spans="1:3" ht="15.75">
      <c r="A56" s="203" t="s">
        <v>534</v>
      </c>
      <c r="B56" s="203"/>
      <c r="C56" s="203"/>
    </row>
    <row r="57" spans="1:3">
      <c r="A57" s="22" t="s">
        <v>535</v>
      </c>
      <c r="B57" s="22" t="s">
        <v>536</v>
      </c>
      <c r="C57" s="22" t="s">
        <v>537</v>
      </c>
    </row>
    <row r="58" spans="1:3">
      <c r="A58" t="s">
        <v>538</v>
      </c>
      <c r="B58" t="s">
        <v>539</v>
      </c>
      <c r="C58" t="s">
        <v>540</v>
      </c>
    </row>
    <row r="59" spans="1:3">
      <c r="A59" t="s">
        <v>541</v>
      </c>
      <c r="B59" t="s">
        <v>542</v>
      </c>
      <c r="C59" t="s">
        <v>543</v>
      </c>
    </row>
    <row r="60" spans="1:3">
      <c r="A60" t="s">
        <v>544</v>
      </c>
      <c r="B60" t="s">
        <v>545</v>
      </c>
      <c r="C60" t="s">
        <v>546</v>
      </c>
    </row>
    <row r="61" spans="1:3">
      <c r="A61" t="s">
        <v>547</v>
      </c>
      <c r="B61" t="s">
        <v>548</v>
      </c>
      <c r="C61" t="s">
        <v>549</v>
      </c>
    </row>
    <row r="62" spans="1:3">
      <c r="A62" t="s">
        <v>550</v>
      </c>
      <c r="B62" t="s">
        <v>551</v>
      </c>
      <c r="C62" t="s">
        <v>552</v>
      </c>
    </row>
    <row r="63" spans="1:3">
      <c r="A63" t="s">
        <v>553</v>
      </c>
      <c r="B63" t="s">
        <v>554</v>
      </c>
      <c r="C63" t="s">
        <v>555</v>
      </c>
    </row>
    <row r="64" spans="1:3">
      <c r="A64" t="s">
        <v>556</v>
      </c>
      <c r="B64" t="s">
        <v>557</v>
      </c>
      <c r="C64" t="s">
        <v>558</v>
      </c>
    </row>
    <row r="65" spans="1:3">
      <c r="A65" t="s">
        <v>559</v>
      </c>
      <c r="B65" t="s">
        <v>560</v>
      </c>
      <c r="C65" t="s">
        <v>561</v>
      </c>
    </row>
    <row r="66" spans="1:3">
      <c r="A66" t="s">
        <v>562</v>
      </c>
      <c r="B66" t="s">
        <v>563</v>
      </c>
      <c r="C66" t="s">
        <v>564</v>
      </c>
    </row>
    <row r="67" spans="1:3">
      <c r="A67" t="s">
        <v>565</v>
      </c>
      <c r="B67" t="s">
        <v>566</v>
      </c>
      <c r="C67" t="s">
        <v>567</v>
      </c>
    </row>
    <row r="68" spans="1:3">
      <c r="A68" t="s">
        <v>568</v>
      </c>
      <c r="B68" t="s">
        <v>569</v>
      </c>
      <c r="C68" t="s">
        <v>470</v>
      </c>
    </row>
    <row r="69" spans="1:3" ht="15.75">
      <c r="A69" s="39"/>
      <c r="B69" s="39"/>
    </row>
    <row r="70" spans="1:3" ht="15.75">
      <c r="A70" s="203" t="s">
        <v>570</v>
      </c>
      <c r="B70" s="203"/>
    </row>
    <row r="71" spans="1:3">
      <c r="A71" s="61" t="s">
        <v>571</v>
      </c>
      <c r="B71" s="133" t="s">
        <v>572</v>
      </c>
    </row>
    <row r="72" spans="1:3">
      <c r="A72" t="s">
        <v>573</v>
      </c>
      <c r="B72" t="s">
        <v>574</v>
      </c>
    </row>
    <row r="73" spans="1:3">
      <c r="A73" t="s">
        <v>575</v>
      </c>
      <c r="B73" t="s">
        <v>576</v>
      </c>
    </row>
    <row r="74" spans="1:3">
      <c r="A74" t="s">
        <v>577</v>
      </c>
      <c r="B74" t="s">
        <v>578</v>
      </c>
    </row>
    <row r="75" spans="1:3">
      <c r="A75" t="s">
        <v>579</v>
      </c>
      <c r="B75" t="s">
        <v>580</v>
      </c>
    </row>
    <row r="76" spans="1:3">
      <c r="A76" t="s">
        <v>581</v>
      </c>
      <c r="B76" t="s">
        <v>582</v>
      </c>
    </row>
    <row r="77" spans="1:3">
      <c r="A77" t="s">
        <v>583</v>
      </c>
      <c r="B77" t="s">
        <v>584</v>
      </c>
    </row>
    <row r="78" spans="1:3">
      <c r="A78" t="s">
        <v>585</v>
      </c>
      <c r="B78" t="s">
        <v>586</v>
      </c>
    </row>
    <row r="79" spans="1:3">
      <c r="A79" s="107" t="s">
        <v>587</v>
      </c>
      <c r="B79" s="107" t="s">
        <v>588</v>
      </c>
      <c r="C79" s="107"/>
    </row>
    <row r="80" spans="1:3">
      <c r="A80" s="207" t="s">
        <v>589</v>
      </c>
      <c r="B80" s="207"/>
      <c r="C80" s="207"/>
    </row>
    <row r="81" spans="1:3" ht="15.75">
      <c r="A81" s="39"/>
      <c r="B81" s="39"/>
    </row>
    <row r="82" spans="1:3" ht="15.75">
      <c r="A82" s="203" t="s">
        <v>590</v>
      </c>
      <c r="B82" s="203"/>
    </row>
    <row r="83" spans="1:3">
      <c r="A83" s="22" t="s">
        <v>591</v>
      </c>
      <c r="B83" s="22" t="s">
        <v>592</v>
      </c>
    </row>
    <row r="84" spans="1:3">
      <c r="A84" t="s">
        <v>593</v>
      </c>
      <c r="B84" t="s">
        <v>594</v>
      </c>
    </row>
    <row r="85" spans="1:3">
      <c r="A85" t="s">
        <v>595</v>
      </c>
      <c r="B85" t="s">
        <v>596</v>
      </c>
    </row>
    <row r="86" spans="1:3">
      <c r="A86" t="s">
        <v>597</v>
      </c>
      <c r="B86" t="s">
        <v>598</v>
      </c>
    </row>
    <row r="87" spans="1:3">
      <c r="A87" t="s">
        <v>599</v>
      </c>
      <c r="B87" t="s">
        <v>600</v>
      </c>
    </row>
    <row r="88" spans="1:3">
      <c r="A88" t="s">
        <v>601</v>
      </c>
      <c r="B88" t="s">
        <v>602</v>
      </c>
    </row>
    <row r="89" spans="1:3">
      <c r="A89" t="s">
        <v>603</v>
      </c>
      <c r="B89" t="s">
        <v>604</v>
      </c>
    </row>
    <row r="90" spans="1:3">
      <c r="A90" t="s">
        <v>605</v>
      </c>
      <c r="B90" t="s">
        <v>606</v>
      </c>
    </row>
    <row r="91" spans="1:3">
      <c r="A91" t="s">
        <v>607</v>
      </c>
      <c r="B91" t="s">
        <v>608</v>
      </c>
    </row>
    <row r="92" spans="1:3">
      <c r="A92" t="s">
        <v>609</v>
      </c>
      <c r="B92" t="s">
        <v>610</v>
      </c>
    </row>
    <row r="93" spans="1:3" ht="15.75">
      <c r="A93" s="39"/>
      <c r="B93" s="39"/>
      <c r="C93" s="39"/>
    </row>
    <row r="94" spans="1:3" ht="15.75">
      <c r="A94" s="203" t="s">
        <v>611</v>
      </c>
      <c r="B94" s="203"/>
      <c r="C94" s="203"/>
    </row>
    <row r="95" spans="1:3">
      <c r="A95" s="22" t="s">
        <v>183</v>
      </c>
      <c r="B95" s="22" t="s">
        <v>612</v>
      </c>
      <c r="C95" s="22" t="s">
        <v>613</v>
      </c>
    </row>
    <row r="96" spans="1:3">
      <c r="A96" t="s">
        <v>614</v>
      </c>
      <c r="B96" t="s">
        <v>615</v>
      </c>
      <c r="C96" t="s">
        <v>616</v>
      </c>
    </row>
    <row r="97" spans="1:3">
      <c r="A97" t="s">
        <v>617</v>
      </c>
      <c r="B97" t="s">
        <v>618</v>
      </c>
      <c r="C97" t="s">
        <v>619</v>
      </c>
    </row>
    <row r="98" spans="1:3">
      <c r="A98" t="s">
        <v>620</v>
      </c>
      <c r="B98" t="s">
        <v>621</v>
      </c>
      <c r="C98" t="s">
        <v>622</v>
      </c>
    </row>
    <row r="99" spans="1:3">
      <c r="A99" t="s">
        <v>623</v>
      </c>
      <c r="B99" t="s">
        <v>624</v>
      </c>
      <c r="C99" t="s">
        <v>625</v>
      </c>
    </row>
    <row r="100" spans="1:3">
      <c r="A100" t="s">
        <v>626</v>
      </c>
      <c r="B100" t="s">
        <v>627</v>
      </c>
      <c r="C100" t="s">
        <v>628</v>
      </c>
    </row>
    <row r="101" spans="1:3">
      <c r="A101" t="s">
        <v>629</v>
      </c>
      <c r="B101" t="s">
        <v>630</v>
      </c>
      <c r="C101" t="s">
        <v>631</v>
      </c>
    </row>
    <row r="102" spans="1:3">
      <c r="A102" t="s">
        <v>632</v>
      </c>
      <c r="B102" t="s">
        <v>633</v>
      </c>
      <c r="C102" t="s">
        <v>634</v>
      </c>
    </row>
    <row r="103" spans="1:3" ht="15.75">
      <c r="A103" s="39"/>
      <c r="B103" s="39"/>
      <c r="C103" s="39"/>
    </row>
    <row r="104" spans="1:3" ht="15.75">
      <c r="A104" s="203" t="s">
        <v>412</v>
      </c>
      <c r="B104" s="203"/>
      <c r="C104" s="203"/>
    </row>
    <row r="105" spans="1:3">
      <c r="A105" t="s">
        <v>635</v>
      </c>
    </row>
    <row r="106" spans="1:3">
      <c r="A106" t="s">
        <v>636</v>
      </c>
    </row>
    <row r="107" spans="1:3">
      <c r="A107" t="s">
        <v>637</v>
      </c>
    </row>
    <row r="108" spans="1:3" ht="15.75">
      <c r="A108" s="203" t="s">
        <v>638</v>
      </c>
      <c r="B108" s="203"/>
      <c r="C108" s="203"/>
    </row>
    <row r="109" spans="1:3">
      <c r="A109" t="s">
        <v>639</v>
      </c>
    </row>
    <row r="110" spans="1:3">
      <c r="A110" t="s">
        <v>640</v>
      </c>
    </row>
  </sheetData>
  <mergeCells count="16">
    <mergeCell ref="A104:C104"/>
    <mergeCell ref="A108:C108"/>
    <mergeCell ref="A54:C54"/>
    <mergeCell ref="A56:C56"/>
    <mergeCell ref="A70:B70"/>
    <mergeCell ref="A80:C80"/>
    <mergeCell ref="A82:B82"/>
    <mergeCell ref="A94:C94"/>
    <mergeCell ref="A28:C28"/>
    <mergeCell ref="A40:C40"/>
    <mergeCell ref="A1:C1"/>
    <mergeCell ref="A2:C2"/>
    <mergeCell ref="A4:C4"/>
    <mergeCell ref="A12:C12"/>
    <mergeCell ref="A15:C15"/>
    <mergeCell ref="A26:C2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5C26D-03F5-4EBF-B133-3BDB44B68C29}">
  <sheetPr>
    <tabColor rgb="FF3A414F"/>
  </sheetPr>
  <dimension ref="A1:D79"/>
  <sheetViews>
    <sheetView workbookViewId="0"/>
  </sheetViews>
  <sheetFormatPr defaultRowHeight="15"/>
  <cols>
    <col min="1" max="1" width="190.42578125" customWidth="1"/>
  </cols>
  <sheetData>
    <row r="1" spans="1:4" ht="21">
      <c r="A1" s="186" t="s">
        <v>641</v>
      </c>
      <c r="B1" s="74"/>
      <c r="C1" s="74"/>
      <c r="D1" s="74"/>
    </row>
    <row r="2" spans="1:4">
      <c r="A2" s="207" t="s">
        <v>642</v>
      </c>
      <c r="B2" s="207"/>
      <c r="C2" s="207"/>
      <c r="D2" s="207"/>
    </row>
    <row r="4" spans="1:4">
      <c r="A4" s="216" t="s">
        <v>643</v>
      </c>
      <c r="B4" s="216"/>
      <c r="C4" s="216"/>
      <c r="D4" s="216"/>
    </row>
    <row r="5" spans="1:4">
      <c r="A5" s="6" t="s">
        <v>644</v>
      </c>
    </row>
    <row r="6" spans="1:4">
      <c r="A6" s="6"/>
    </row>
    <row r="7" spans="1:4">
      <c r="A7" s="84" t="s">
        <v>645</v>
      </c>
      <c r="B7" s="84"/>
      <c r="C7" s="84"/>
      <c r="D7" s="84"/>
    </row>
    <row r="8" spans="1:4">
      <c r="A8" s="57" t="s">
        <v>118</v>
      </c>
      <c r="B8" s="22" t="s">
        <v>28</v>
      </c>
      <c r="C8" s="22" t="s">
        <v>646</v>
      </c>
      <c r="D8" s="22" t="s">
        <v>647</v>
      </c>
    </row>
    <row r="9" spans="1:4">
      <c r="A9" s="6" t="s">
        <v>648</v>
      </c>
      <c r="B9" t="s">
        <v>123</v>
      </c>
      <c r="C9" t="s">
        <v>649</v>
      </c>
      <c r="D9" t="s">
        <v>650</v>
      </c>
    </row>
    <row r="10" spans="1:4">
      <c r="A10" s="6" t="s">
        <v>651</v>
      </c>
      <c r="B10" t="s">
        <v>127</v>
      </c>
      <c r="C10" t="s">
        <v>652</v>
      </c>
      <c r="D10" t="s">
        <v>653</v>
      </c>
    </row>
    <row r="11" spans="1:4">
      <c r="A11" s="6" t="s">
        <v>654</v>
      </c>
      <c r="B11" t="s">
        <v>655</v>
      </c>
      <c r="C11" t="s">
        <v>656</v>
      </c>
      <c r="D11" t="s">
        <v>657</v>
      </c>
    </row>
    <row r="12" spans="1:4">
      <c r="A12" s="6"/>
    </row>
    <row r="13" spans="1:4">
      <c r="A13" s="84" t="s">
        <v>658</v>
      </c>
      <c r="B13" s="84"/>
      <c r="C13" s="84"/>
      <c r="D13" s="84"/>
    </row>
    <row r="14" spans="1:4">
      <c r="A14" s="57" t="s">
        <v>659</v>
      </c>
      <c r="B14" s="22"/>
      <c r="C14" s="22"/>
    </row>
    <row r="15" spans="1:4">
      <c r="A15" s="23"/>
      <c r="B15" s="27"/>
      <c r="C15" s="27"/>
    </row>
    <row r="16" spans="1:4">
      <c r="A16" s="84" t="s">
        <v>660</v>
      </c>
      <c r="B16" s="84"/>
      <c r="C16" s="84"/>
      <c r="D16" s="84"/>
    </row>
    <row r="17" spans="1:4">
      <c r="A17" s="57" t="s">
        <v>661</v>
      </c>
      <c r="B17" s="22" t="s">
        <v>662</v>
      </c>
      <c r="C17" s="22" t="s">
        <v>663</v>
      </c>
      <c r="D17" s="22" t="s">
        <v>664</v>
      </c>
    </row>
    <row r="18" spans="1:4">
      <c r="A18" s="6" t="s">
        <v>665</v>
      </c>
      <c r="B18" t="s">
        <v>666</v>
      </c>
      <c r="C18" t="s">
        <v>667</v>
      </c>
      <c r="D18" t="s">
        <v>668</v>
      </c>
    </row>
    <row r="19" spans="1:4">
      <c r="A19" s="6" t="s">
        <v>669</v>
      </c>
      <c r="B19" t="s">
        <v>670</v>
      </c>
      <c r="C19" t="s">
        <v>671</v>
      </c>
      <c r="D19" t="s">
        <v>672</v>
      </c>
    </row>
    <row r="20" spans="1:4">
      <c r="A20" s="6" t="s">
        <v>673</v>
      </c>
      <c r="B20" t="s">
        <v>442</v>
      </c>
      <c r="C20" t="s">
        <v>674</v>
      </c>
      <c r="D20" t="s">
        <v>675</v>
      </c>
    </row>
    <row r="21" spans="1:4">
      <c r="A21" s="6" t="s">
        <v>676</v>
      </c>
      <c r="B21" t="s">
        <v>445</v>
      </c>
      <c r="C21" t="s">
        <v>677</v>
      </c>
      <c r="D21" t="s">
        <v>447</v>
      </c>
    </row>
    <row r="22" spans="1:4">
      <c r="A22" s="6" t="s">
        <v>678</v>
      </c>
      <c r="B22" t="s">
        <v>448</v>
      </c>
      <c r="C22" t="s">
        <v>679</v>
      </c>
      <c r="D22" t="s">
        <v>450</v>
      </c>
    </row>
    <row r="23" spans="1:4">
      <c r="A23" s="6" t="s">
        <v>680</v>
      </c>
      <c r="B23" t="s">
        <v>451</v>
      </c>
      <c r="C23" t="s">
        <v>681</v>
      </c>
      <c r="D23" t="s">
        <v>682</v>
      </c>
    </row>
    <row r="24" spans="1:4">
      <c r="A24" s="6" t="s">
        <v>683</v>
      </c>
      <c r="B24" t="s">
        <v>454</v>
      </c>
      <c r="C24" t="s">
        <v>684</v>
      </c>
      <c r="D24" t="s">
        <v>685</v>
      </c>
    </row>
    <row r="25" spans="1:4">
      <c r="A25" s="23" t="s">
        <v>686</v>
      </c>
      <c r="B25" s="27" t="s">
        <v>460</v>
      </c>
      <c r="C25" s="27" t="s">
        <v>687</v>
      </c>
      <c r="D25" t="s">
        <v>462</v>
      </c>
    </row>
    <row r="26" spans="1:4" ht="91.5">
      <c r="A26" s="23" t="s">
        <v>688</v>
      </c>
      <c r="B26" s="23" t="s">
        <v>689</v>
      </c>
      <c r="C26" s="23" t="s">
        <v>458</v>
      </c>
      <c r="D26" s="23" t="s">
        <v>690</v>
      </c>
    </row>
    <row r="27" spans="1:4">
      <c r="A27" s="57" t="s">
        <v>691</v>
      </c>
      <c r="B27" s="22" t="s">
        <v>692</v>
      </c>
      <c r="C27" s="22" t="s">
        <v>693</v>
      </c>
      <c r="D27" s="22" t="s">
        <v>694</v>
      </c>
    </row>
    <row r="28" spans="1:4">
      <c r="A28" s="6"/>
    </row>
    <row r="29" spans="1:4">
      <c r="A29" s="84" t="s">
        <v>695</v>
      </c>
      <c r="B29" s="84"/>
      <c r="C29" s="84"/>
    </row>
    <row r="30" spans="1:4">
      <c r="A30" s="57" t="s">
        <v>696</v>
      </c>
      <c r="B30" s="22" t="s">
        <v>697</v>
      </c>
      <c r="C30" s="22" t="s">
        <v>698</v>
      </c>
    </row>
    <row r="31" spans="1:4">
      <c r="A31" s="6" t="s">
        <v>699</v>
      </c>
      <c r="B31" t="s">
        <v>700</v>
      </c>
      <c r="C31" t="s">
        <v>701</v>
      </c>
    </row>
    <row r="32" spans="1:4">
      <c r="A32" s="6" t="s">
        <v>702</v>
      </c>
      <c r="B32" t="s">
        <v>703</v>
      </c>
      <c r="C32" t="s">
        <v>704</v>
      </c>
    </row>
    <row r="33" spans="1:4">
      <c r="A33" s="6" t="s">
        <v>504</v>
      </c>
      <c r="B33" t="s">
        <v>705</v>
      </c>
      <c r="C33" t="s">
        <v>706</v>
      </c>
    </row>
    <row r="34" spans="1:4">
      <c r="A34" s="6" t="s">
        <v>507</v>
      </c>
      <c r="B34" t="s">
        <v>707</v>
      </c>
      <c r="C34" t="s">
        <v>708</v>
      </c>
    </row>
    <row r="35" spans="1:4">
      <c r="A35" s="6" t="s">
        <v>510</v>
      </c>
      <c r="B35" t="s">
        <v>709</v>
      </c>
      <c r="C35" t="s">
        <v>710</v>
      </c>
    </row>
    <row r="36" spans="1:4">
      <c r="A36" s="23" t="s">
        <v>513</v>
      </c>
      <c r="B36" s="27" t="s">
        <v>711</v>
      </c>
      <c r="C36" s="27" t="s">
        <v>712</v>
      </c>
    </row>
    <row r="37" spans="1:4">
      <c r="A37" s="6" t="s">
        <v>515</v>
      </c>
      <c r="B37" t="s">
        <v>713</v>
      </c>
      <c r="C37" t="s">
        <v>714</v>
      </c>
    </row>
    <row r="38" spans="1:4">
      <c r="A38" s="6" t="s">
        <v>715</v>
      </c>
      <c r="B38" t="s">
        <v>716</v>
      </c>
      <c r="C38" t="s">
        <v>717</v>
      </c>
    </row>
    <row r="39" spans="1:4">
      <c r="A39" s="6" t="s">
        <v>521</v>
      </c>
      <c r="B39" t="s">
        <v>718</v>
      </c>
      <c r="C39" t="s">
        <v>719</v>
      </c>
    </row>
    <row r="40" spans="1:4">
      <c r="A40" s="23" t="s">
        <v>720</v>
      </c>
      <c r="B40" s="27" t="s">
        <v>721</v>
      </c>
      <c r="C40" s="27" t="s">
        <v>722</v>
      </c>
    </row>
    <row r="41" spans="1:4" ht="152.25">
      <c r="A41" s="23" t="s">
        <v>723</v>
      </c>
      <c r="B41" s="23" t="s">
        <v>721</v>
      </c>
      <c r="C41" s="23" t="s">
        <v>724</v>
      </c>
    </row>
    <row r="42" spans="1:4">
      <c r="A42" s="22" t="s">
        <v>527</v>
      </c>
      <c r="B42" s="22" t="s">
        <v>725</v>
      </c>
      <c r="C42" s="22" t="s">
        <v>726</v>
      </c>
    </row>
    <row r="43" spans="1:4">
      <c r="A43" t="s">
        <v>530</v>
      </c>
      <c r="B43" t="s">
        <v>727</v>
      </c>
      <c r="C43" t="s">
        <v>728</v>
      </c>
    </row>
    <row r="44" spans="1:4">
      <c r="A44" t="s">
        <v>729</v>
      </c>
    </row>
    <row r="46" spans="1:4">
      <c r="A46" s="216" t="s">
        <v>730</v>
      </c>
      <c r="B46" s="216"/>
      <c r="C46" s="216"/>
      <c r="D46" s="216"/>
    </row>
    <row r="47" spans="1:4">
      <c r="A47" t="s">
        <v>731</v>
      </c>
    </row>
    <row r="49" spans="1:4">
      <c r="A49" s="216" t="s">
        <v>732</v>
      </c>
      <c r="B49" s="216"/>
      <c r="C49" s="216"/>
      <c r="D49" s="216"/>
    </row>
    <row r="50" spans="1:4">
      <c r="A50" t="s">
        <v>733</v>
      </c>
    </row>
    <row r="51" spans="1:4">
      <c r="A51" t="s">
        <v>734</v>
      </c>
    </row>
    <row r="53" spans="1:4">
      <c r="A53" s="216" t="s">
        <v>735</v>
      </c>
      <c r="B53" s="216"/>
      <c r="C53" s="216"/>
      <c r="D53" s="216"/>
    </row>
    <row r="54" spans="1:4">
      <c r="A54" t="s">
        <v>736</v>
      </c>
    </row>
    <row r="56" spans="1:4">
      <c r="A56" s="216" t="s">
        <v>737</v>
      </c>
      <c r="B56" s="216"/>
      <c r="C56" s="216"/>
      <c r="D56" s="216"/>
    </row>
    <row r="57" spans="1:4">
      <c r="A57" s="61" t="s">
        <v>738</v>
      </c>
      <c r="B57" s="131"/>
    </row>
    <row r="59" spans="1:4">
      <c r="A59" s="216" t="s">
        <v>739</v>
      </c>
      <c r="B59" s="216"/>
      <c r="C59" s="216"/>
      <c r="D59" s="216"/>
    </row>
    <row r="60" spans="1:4">
      <c r="A60" t="s">
        <v>740</v>
      </c>
    </row>
    <row r="62" spans="1:4">
      <c r="A62" s="207" t="s">
        <v>741</v>
      </c>
      <c r="B62" s="207"/>
      <c r="C62" s="207"/>
      <c r="D62" s="207"/>
    </row>
    <row r="65" spans="1:2">
      <c r="A65" s="27"/>
      <c r="B65" s="27"/>
    </row>
    <row r="72" spans="1:2">
      <c r="A72" s="27"/>
      <c r="B72" s="27"/>
    </row>
    <row r="76" spans="1:2">
      <c r="A76" s="27"/>
      <c r="B76" s="27"/>
    </row>
    <row r="79" spans="1:2">
      <c r="A79" s="107"/>
      <c r="B79" s="107"/>
    </row>
  </sheetData>
  <mergeCells count="13">
    <mergeCell ref="A16:D16"/>
    <mergeCell ref="A29:C29"/>
    <mergeCell ref="A46:D46"/>
    <mergeCell ref="A49:D49"/>
    <mergeCell ref="A53:D53"/>
    <mergeCell ref="A56:D56"/>
    <mergeCell ref="A59:D59"/>
    <mergeCell ref="A62:D62"/>
    <mergeCell ref="A1:D1"/>
    <mergeCell ref="A2:D2"/>
    <mergeCell ref="A4:D4"/>
    <mergeCell ref="A7:D7"/>
    <mergeCell ref="A13:D1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B57AC-778F-4FDC-928D-1BB2C9A2821F}">
  <sheetPr>
    <tabColor rgb="FF3A414F"/>
  </sheetPr>
  <dimension ref="A1:A77"/>
  <sheetViews>
    <sheetView workbookViewId="0"/>
  </sheetViews>
  <sheetFormatPr defaultRowHeight="15"/>
  <cols>
    <col min="1" max="1" width="209.5703125" customWidth="1"/>
  </cols>
  <sheetData>
    <row r="1" spans="1:1" ht="18.75">
      <c r="A1" s="194" t="s">
        <v>742</v>
      </c>
    </row>
    <row r="2" spans="1:1">
      <c r="A2" s="107" t="s">
        <v>743</v>
      </c>
    </row>
    <row r="4" spans="1:1">
      <c r="A4" s="54" t="s">
        <v>744</v>
      </c>
    </row>
    <row r="5" spans="1:1">
      <c r="A5" s="6" t="s">
        <v>745</v>
      </c>
    </row>
    <row r="6" spans="1:1">
      <c r="A6" s="6"/>
    </row>
    <row r="7" spans="1:1">
      <c r="A7" s="55" t="s">
        <v>746</v>
      </c>
    </row>
    <row r="8" spans="1:1">
      <c r="A8" s="6" t="s">
        <v>747</v>
      </c>
    </row>
    <row r="9" spans="1:1">
      <c r="A9" s="6" t="s">
        <v>748</v>
      </c>
    </row>
    <row r="10" spans="1:1">
      <c r="A10" s="6" t="s">
        <v>749</v>
      </c>
    </row>
    <row r="11" spans="1:1">
      <c r="A11" s="6" t="s">
        <v>750</v>
      </c>
    </row>
    <row r="12" spans="1:1">
      <c r="A12" s="6" t="s">
        <v>751</v>
      </c>
    </row>
    <row r="13" spans="1:1">
      <c r="A13" s="6" t="s">
        <v>752</v>
      </c>
    </row>
    <row r="14" spans="1:1">
      <c r="A14" s="56" t="s">
        <v>753</v>
      </c>
    </row>
    <row r="15" spans="1:1">
      <c r="A15" s="6" t="s">
        <v>754</v>
      </c>
    </row>
    <row r="16" spans="1:1">
      <c r="A16" s="6" t="s">
        <v>755</v>
      </c>
    </row>
    <row r="17" spans="1:1">
      <c r="A17" s="6"/>
    </row>
    <row r="18" spans="1:1">
      <c r="A18" s="55" t="s">
        <v>756</v>
      </c>
    </row>
    <row r="19" spans="1:1">
      <c r="A19" s="6" t="s">
        <v>757</v>
      </c>
    </row>
    <row r="20" spans="1:1">
      <c r="A20" s="6" t="s">
        <v>758</v>
      </c>
    </row>
    <row r="21" spans="1:1">
      <c r="A21" s="6" t="s">
        <v>759</v>
      </c>
    </row>
    <row r="22" spans="1:1">
      <c r="A22" s="55"/>
    </row>
    <row r="23" spans="1:1">
      <c r="A23" s="56" t="s">
        <v>760</v>
      </c>
    </row>
    <row r="24" spans="1:1">
      <c r="A24" s="6" t="s">
        <v>761</v>
      </c>
    </row>
    <row r="25" spans="1:1">
      <c r="A25" s="6" t="s">
        <v>762</v>
      </c>
    </row>
    <row r="26" spans="1:1">
      <c r="A26" s="6" t="s">
        <v>763</v>
      </c>
    </row>
    <row r="27" spans="1:1">
      <c r="A27" s="6" t="s">
        <v>764</v>
      </c>
    </row>
    <row r="28" spans="1:1">
      <c r="A28" s="55" t="s">
        <v>765</v>
      </c>
    </row>
    <row r="29" spans="1:1">
      <c r="A29" s="55" t="s">
        <v>766</v>
      </c>
    </row>
    <row r="30" spans="1:1">
      <c r="A30" s="6" t="s">
        <v>767</v>
      </c>
    </row>
    <row r="31" spans="1:1">
      <c r="A31" s="6" t="s">
        <v>768</v>
      </c>
    </row>
    <row r="32" spans="1:1">
      <c r="A32" s="6"/>
    </row>
    <row r="33" spans="1:1">
      <c r="A33" s="55" t="s">
        <v>769</v>
      </c>
    </row>
    <row r="34" spans="1:1">
      <c r="A34" s="6" t="s">
        <v>770</v>
      </c>
    </row>
    <row r="35" spans="1:1">
      <c r="A35" s="6" t="s">
        <v>771</v>
      </c>
    </row>
    <row r="36" spans="1:1">
      <c r="A36" s="55"/>
    </row>
    <row r="37" spans="1:1">
      <c r="A37" s="55" t="s">
        <v>772</v>
      </c>
    </row>
    <row r="38" spans="1:1">
      <c r="A38" s="55" t="s">
        <v>773</v>
      </c>
    </row>
    <row r="39" spans="1:1">
      <c r="A39" s="6"/>
    </row>
    <row r="40" spans="1:1">
      <c r="A40" s="55" t="s">
        <v>774</v>
      </c>
    </row>
    <row r="41" spans="1:1">
      <c r="A41" s="55" t="s">
        <v>775</v>
      </c>
    </row>
    <row r="42" spans="1:1">
      <c r="A42" s="6" t="s">
        <v>776</v>
      </c>
    </row>
    <row r="43" spans="1:1">
      <c r="A43" s="55" t="s">
        <v>777</v>
      </c>
    </row>
    <row r="44" spans="1:1">
      <c r="A44" s="6" t="s">
        <v>778</v>
      </c>
    </row>
    <row r="45" spans="1:1">
      <c r="A45" s="6"/>
    </row>
    <row r="46" spans="1:1">
      <c r="A46" s="55" t="s">
        <v>779</v>
      </c>
    </row>
    <row r="47" spans="1:1">
      <c r="A47" s="55" t="s">
        <v>780</v>
      </c>
    </row>
    <row r="48" spans="1:1">
      <c r="A48" s="6"/>
    </row>
    <row r="49" spans="1:1">
      <c r="A49" s="55" t="s">
        <v>781</v>
      </c>
    </row>
    <row r="50" spans="1:1">
      <c r="A50" s="55" t="s">
        <v>782</v>
      </c>
    </row>
    <row r="51" spans="1:1">
      <c r="A51" s="6" t="s">
        <v>783</v>
      </c>
    </row>
    <row r="52" spans="1:1">
      <c r="A52" s="6" t="s">
        <v>784</v>
      </c>
    </row>
    <row r="53" spans="1:1">
      <c r="A53" s="55" t="s">
        <v>785</v>
      </c>
    </row>
    <row r="54" spans="1:1">
      <c r="A54" s="55" t="s">
        <v>786</v>
      </c>
    </row>
    <row r="55" spans="1:1">
      <c r="A55" t="s">
        <v>787</v>
      </c>
    </row>
    <row r="56" spans="1:1">
      <c r="A56" s="54" t="s">
        <v>788</v>
      </c>
    </row>
    <row r="57" spans="1:1">
      <c r="A57" s="54" t="s">
        <v>789</v>
      </c>
    </row>
    <row r="58" spans="1:1">
      <c r="A58" t="s">
        <v>790</v>
      </c>
    </row>
    <row r="59" spans="1:1">
      <c r="A59" t="s">
        <v>791</v>
      </c>
    </row>
    <row r="60" spans="1:1">
      <c r="A60" s="67" t="s">
        <v>792</v>
      </c>
    </row>
    <row r="61" spans="1:1">
      <c r="A61" t="s">
        <v>793</v>
      </c>
    </row>
    <row r="62" spans="1:1">
      <c r="A62" t="s">
        <v>794</v>
      </c>
    </row>
    <row r="63" spans="1:1">
      <c r="A63" t="s">
        <v>795</v>
      </c>
    </row>
    <row r="64" spans="1:1">
      <c r="A64" s="54" t="s">
        <v>796</v>
      </c>
    </row>
    <row r="65" spans="1:1">
      <c r="A65" s="54" t="s">
        <v>797</v>
      </c>
    </row>
    <row r="66" spans="1:1">
      <c r="A66" t="s">
        <v>798</v>
      </c>
    </row>
    <row r="67" spans="1:1">
      <c r="A67" t="s">
        <v>799</v>
      </c>
    </row>
    <row r="68" spans="1:1">
      <c r="A68" s="54" t="s">
        <v>800</v>
      </c>
    </row>
    <row r="69" spans="1:1">
      <c r="A69" t="s">
        <v>801</v>
      </c>
    </row>
    <row r="70" spans="1:1">
      <c r="A70" t="s">
        <v>802</v>
      </c>
    </row>
    <row r="71" spans="1:1">
      <c r="A71" s="54" t="s">
        <v>803</v>
      </c>
    </row>
    <row r="72" spans="1:1">
      <c r="A72" s="54" t="s">
        <v>804</v>
      </c>
    </row>
    <row r="73" spans="1:1">
      <c r="A73" t="s">
        <v>805</v>
      </c>
    </row>
    <row r="74" spans="1:1">
      <c r="A74" s="54" t="s">
        <v>806</v>
      </c>
    </row>
    <row r="76" spans="1:1">
      <c r="A76" t="s">
        <v>807</v>
      </c>
    </row>
    <row r="77" spans="1:1">
      <c r="A77" t="s">
        <v>808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81FEA-A715-4C5C-A12C-556F6D16C88F}">
  <sheetPr>
    <tabColor rgb="FF3A414F"/>
  </sheetPr>
  <dimension ref="A1:F54"/>
  <sheetViews>
    <sheetView workbookViewId="0"/>
  </sheetViews>
  <sheetFormatPr defaultRowHeight="15"/>
  <cols>
    <col min="1" max="1" width="80" customWidth="1"/>
  </cols>
  <sheetData>
    <row r="1" spans="1:6" ht="21">
      <c r="A1" s="186" t="s">
        <v>809</v>
      </c>
      <c r="B1" s="74"/>
      <c r="C1" s="74"/>
      <c r="D1" s="74"/>
      <c r="E1" s="74"/>
      <c r="F1" s="74"/>
    </row>
    <row r="2" spans="1:6">
      <c r="A2" s="207" t="s">
        <v>810</v>
      </c>
      <c r="B2" s="205"/>
      <c r="C2" s="205"/>
      <c r="D2" s="205"/>
      <c r="E2" s="205"/>
      <c r="F2" s="205"/>
    </row>
    <row r="4" spans="1:6">
      <c r="A4" s="22" t="s">
        <v>811</v>
      </c>
      <c r="B4" s="22" t="s">
        <v>812</v>
      </c>
      <c r="C4" s="22" t="s">
        <v>813</v>
      </c>
      <c r="D4" s="22" t="s">
        <v>814</v>
      </c>
      <c r="E4" s="22" t="s">
        <v>815</v>
      </c>
      <c r="F4" s="22" t="s">
        <v>816</v>
      </c>
    </row>
    <row r="5" spans="1:6">
      <c r="A5" t="s">
        <v>817</v>
      </c>
      <c r="B5" t="s">
        <v>818</v>
      </c>
      <c r="C5" t="s">
        <v>819</v>
      </c>
      <c r="D5" t="s">
        <v>193</v>
      </c>
      <c r="E5" t="s">
        <v>820</v>
      </c>
      <c r="F5" t="s">
        <v>821</v>
      </c>
    </row>
    <row r="6" spans="1:6">
      <c r="A6" t="s">
        <v>822</v>
      </c>
      <c r="B6" t="s">
        <v>823</v>
      </c>
      <c r="C6" t="s">
        <v>218</v>
      </c>
      <c r="D6" t="s">
        <v>824</v>
      </c>
      <c r="E6" t="s">
        <v>825</v>
      </c>
      <c r="F6" t="s">
        <v>826</v>
      </c>
    </row>
    <row r="7" spans="1:6">
      <c r="A7" t="s">
        <v>827</v>
      </c>
      <c r="B7" t="s">
        <v>828</v>
      </c>
      <c r="C7" t="s">
        <v>221</v>
      </c>
      <c r="D7" t="s">
        <v>829</v>
      </c>
      <c r="E7" t="s">
        <v>830</v>
      </c>
    </row>
    <row r="8" spans="1:6">
      <c r="A8" t="s">
        <v>831</v>
      </c>
      <c r="B8" t="s">
        <v>832</v>
      </c>
      <c r="C8" t="s">
        <v>226</v>
      </c>
      <c r="D8" t="s">
        <v>833</v>
      </c>
      <c r="E8" t="s">
        <v>834</v>
      </c>
      <c r="F8" t="s">
        <v>835</v>
      </c>
    </row>
    <row r="9" spans="1:6">
      <c r="A9" t="s">
        <v>836</v>
      </c>
      <c r="B9" t="s">
        <v>837</v>
      </c>
      <c r="C9" t="s">
        <v>231</v>
      </c>
      <c r="D9" t="s">
        <v>829</v>
      </c>
      <c r="E9" t="s">
        <v>838</v>
      </c>
      <c r="F9" t="s">
        <v>839</v>
      </c>
    </row>
    <row r="10" spans="1:6">
      <c r="A10" t="s">
        <v>840</v>
      </c>
      <c r="B10" t="s">
        <v>841</v>
      </c>
      <c r="C10" t="s">
        <v>234</v>
      </c>
      <c r="D10" t="s">
        <v>842</v>
      </c>
      <c r="E10" t="s">
        <v>843</v>
      </c>
      <c r="F10" t="s">
        <v>826</v>
      </c>
    </row>
    <row r="11" spans="1:6">
      <c r="A11" t="s">
        <v>844</v>
      </c>
      <c r="B11" t="s">
        <v>845</v>
      </c>
      <c r="C11" t="s">
        <v>846</v>
      </c>
      <c r="D11" t="s">
        <v>847</v>
      </c>
      <c r="E11" t="s">
        <v>848</v>
      </c>
      <c r="F11" t="s">
        <v>849</v>
      </c>
    </row>
    <row r="12" spans="1:6">
      <c r="A12" t="s">
        <v>850</v>
      </c>
      <c r="B12" t="s">
        <v>851</v>
      </c>
      <c r="C12" t="s">
        <v>852</v>
      </c>
      <c r="D12" t="s">
        <v>853</v>
      </c>
      <c r="E12" t="s">
        <v>854</v>
      </c>
      <c r="F12" t="s">
        <v>855</v>
      </c>
    </row>
    <row r="13" spans="1:6">
      <c r="A13" t="s">
        <v>856</v>
      </c>
      <c r="B13" t="s">
        <v>857</v>
      </c>
      <c r="C13" t="s">
        <v>858</v>
      </c>
      <c r="D13" t="s">
        <v>859</v>
      </c>
      <c r="E13" t="s">
        <v>860</v>
      </c>
      <c r="F13" t="s">
        <v>861</v>
      </c>
    </row>
    <row r="14" spans="1:6">
      <c r="A14" t="s">
        <v>862</v>
      </c>
      <c r="B14" t="s">
        <v>863</v>
      </c>
      <c r="C14" t="s">
        <v>864</v>
      </c>
      <c r="D14" t="s">
        <v>859</v>
      </c>
      <c r="E14" t="s">
        <v>865</v>
      </c>
      <c r="F14" t="s">
        <v>866</v>
      </c>
    </row>
    <row r="16" spans="1:6">
      <c r="A16" s="216" t="s">
        <v>867</v>
      </c>
      <c r="B16" s="216"/>
    </row>
    <row r="17" spans="1:6">
      <c r="A17" t="s">
        <v>868</v>
      </c>
      <c r="B17" t="s">
        <v>869</v>
      </c>
    </row>
    <row r="18" spans="1:6">
      <c r="A18" t="s">
        <v>870</v>
      </c>
      <c r="B18" t="s">
        <v>871</v>
      </c>
    </row>
    <row r="19" spans="1:6">
      <c r="A19" t="s">
        <v>872</v>
      </c>
      <c r="B19" t="s">
        <v>873</v>
      </c>
    </row>
    <row r="20" spans="1:6">
      <c r="A20" t="s">
        <v>874</v>
      </c>
      <c r="B20" t="s">
        <v>875</v>
      </c>
    </row>
    <row r="21" spans="1:6">
      <c r="A21" t="s">
        <v>876</v>
      </c>
      <c r="B21" t="s">
        <v>877</v>
      </c>
    </row>
    <row r="22" spans="1:6">
      <c r="A22" t="s">
        <v>878</v>
      </c>
      <c r="B22" t="s">
        <v>879</v>
      </c>
    </row>
    <row r="23" spans="1:6">
      <c r="A23" t="s">
        <v>880</v>
      </c>
      <c r="B23" t="s">
        <v>881</v>
      </c>
    </row>
    <row r="24" spans="1:6">
      <c r="A24" t="s">
        <v>882</v>
      </c>
      <c r="B24" t="s">
        <v>883</v>
      </c>
    </row>
    <row r="25" spans="1:6">
      <c r="A25" t="s">
        <v>884</v>
      </c>
      <c r="B25" t="s">
        <v>885</v>
      </c>
    </row>
    <row r="27" spans="1:6">
      <c r="A27" s="217" t="s">
        <v>886</v>
      </c>
      <c r="B27" s="217"/>
    </row>
    <row r="28" spans="1:6">
      <c r="A28" s="204" t="s">
        <v>887</v>
      </c>
      <c r="B28" s="204"/>
    </row>
    <row r="30" spans="1:6">
      <c r="A30" s="62" t="s">
        <v>888</v>
      </c>
    </row>
    <row r="31" spans="1:6">
      <c r="A31" t="s">
        <v>889</v>
      </c>
      <c r="B31" t="s">
        <v>890</v>
      </c>
      <c r="C31" t="s">
        <v>891</v>
      </c>
      <c r="D31" t="s">
        <v>892</v>
      </c>
      <c r="E31" t="s">
        <v>893</v>
      </c>
      <c r="F31" t="s">
        <v>894</v>
      </c>
    </row>
    <row r="32" spans="1:6">
      <c r="A32" t="s">
        <v>895</v>
      </c>
      <c r="B32" t="s">
        <v>896</v>
      </c>
      <c r="C32" t="s">
        <v>897</v>
      </c>
      <c r="D32" t="s">
        <v>898</v>
      </c>
      <c r="E32" t="s">
        <v>899</v>
      </c>
      <c r="F32" t="s">
        <v>826</v>
      </c>
    </row>
    <row r="33" spans="1:6">
      <c r="A33" t="s">
        <v>900</v>
      </c>
      <c r="B33" t="s">
        <v>901</v>
      </c>
    </row>
    <row r="34" spans="1:6">
      <c r="A34" t="s">
        <v>902</v>
      </c>
      <c r="B34" t="s">
        <v>903</v>
      </c>
    </row>
    <row r="35" spans="1:6">
      <c r="A35" t="s">
        <v>904</v>
      </c>
      <c r="B35" t="s">
        <v>905</v>
      </c>
    </row>
    <row r="37" spans="1:6">
      <c r="A37" s="68" t="s">
        <v>906</v>
      </c>
    </row>
    <row r="38" spans="1:6">
      <c r="A38" t="s">
        <v>907</v>
      </c>
      <c r="B38" t="s">
        <v>908</v>
      </c>
      <c r="C38" t="s">
        <v>909</v>
      </c>
      <c r="D38" t="s">
        <v>193</v>
      </c>
      <c r="E38" t="s">
        <v>910</v>
      </c>
      <c r="F38" t="s">
        <v>911</v>
      </c>
    </row>
    <row r="39" spans="1:6">
      <c r="A39" t="s">
        <v>912</v>
      </c>
      <c r="B39" t="s">
        <v>913</v>
      </c>
      <c r="C39" t="s">
        <v>914</v>
      </c>
      <c r="D39" t="s">
        <v>915</v>
      </c>
      <c r="E39" t="s">
        <v>916</v>
      </c>
      <c r="F39" t="s">
        <v>826</v>
      </c>
    </row>
    <row r="40" spans="1:6">
      <c r="A40" t="s">
        <v>917</v>
      </c>
      <c r="B40" t="s">
        <v>918</v>
      </c>
      <c r="C40" t="s">
        <v>919</v>
      </c>
      <c r="D40" t="s">
        <v>915</v>
      </c>
      <c r="E40" t="s">
        <v>920</v>
      </c>
      <c r="F40" t="s">
        <v>921</v>
      </c>
    </row>
    <row r="41" spans="1:6">
      <c r="A41" t="s">
        <v>922</v>
      </c>
      <c r="B41" t="s">
        <v>923</v>
      </c>
    </row>
    <row r="42" spans="1:6">
      <c r="A42" t="s">
        <v>924</v>
      </c>
      <c r="B42" t="s">
        <v>925</v>
      </c>
    </row>
    <row r="43" spans="1:6">
      <c r="A43" t="s">
        <v>926</v>
      </c>
      <c r="B43" t="s">
        <v>927</v>
      </c>
    </row>
    <row r="45" spans="1:6">
      <c r="A45" s="216" t="s">
        <v>928</v>
      </c>
      <c r="B45" s="216"/>
      <c r="C45" s="216"/>
      <c r="D45" s="216"/>
    </row>
    <row r="46" spans="1:6">
      <c r="A46" s="22" t="s">
        <v>696</v>
      </c>
      <c r="B46" s="22" t="s">
        <v>697</v>
      </c>
      <c r="C46" s="22" t="s">
        <v>929</v>
      </c>
      <c r="D46" s="22" t="s">
        <v>930</v>
      </c>
    </row>
    <row r="47" spans="1:6">
      <c r="A47" t="s">
        <v>699</v>
      </c>
      <c r="B47" t="s">
        <v>931</v>
      </c>
      <c r="C47" t="s">
        <v>932</v>
      </c>
      <c r="D47" t="s">
        <v>933</v>
      </c>
    </row>
    <row r="48" spans="1:6">
      <c r="A48" t="s">
        <v>515</v>
      </c>
      <c r="B48" t="s">
        <v>713</v>
      </c>
      <c r="C48" t="s">
        <v>934</v>
      </c>
      <c r="D48" t="s">
        <v>935</v>
      </c>
    </row>
    <row r="49" spans="1:4">
      <c r="A49" t="s">
        <v>715</v>
      </c>
      <c r="B49" t="s">
        <v>716</v>
      </c>
      <c r="C49" t="s">
        <v>936</v>
      </c>
      <c r="D49" t="s">
        <v>937</v>
      </c>
    </row>
    <row r="50" spans="1:4">
      <c r="A50" t="s">
        <v>720</v>
      </c>
      <c r="B50" t="s">
        <v>721</v>
      </c>
      <c r="C50" t="s">
        <v>938</v>
      </c>
      <c r="D50" t="s">
        <v>939</v>
      </c>
    </row>
    <row r="51" spans="1:4">
      <c r="A51" t="s">
        <v>723</v>
      </c>
      <c r="B51" t="s">
        <v>721</v>
      </c>
      <c r="C51" t="s">
        <v>940</v>
      </c>
      <c r="D51" t="s">
        <v>941</v>
      </c>
    </row>
    <row r="52" spans="1:4">
      <c r="A52" t="s">
        <v>527</v>
      </c>
      <c r="B52" t="s">
        <v>942</v>
      </c>
      <c r="C52" t="s">
        <v>943</v>
      </c>
      <c r="D52" t="s">
        <v>944</v>
      </c>
    </row>
    <row r="53" spans="1:4">
      <c r="A53" s="204" t="s">
        <v>945</v>
      </c>
      <c r="B53" s="204"/>
      <c r="C53" s="204"/>
      <c r="D53" s="204"/>
    </row>
    <row r="54" spans="1:4">
      <c r="A54" s="204" t="s">
        <v>946</v>
      </c>
      <c r="B54" s="204"/>
      <c r="C54" s="204"/>
      <c r="D54" s="204"/>
    </row>
  </sheetData>
  <mergeCells count="8">
    <mergeCell ref="A45:D45"/>
    <mergeCell ref="A53:D53"/>
    <mergeCell ref="A54:D54"/>
    <mergeCell ref="A1:F1"/>
    <mergeCell ref="A2:F2"/>
    <mergeCell ref="A16:B16"/>
    <mergeCell ref="A27:B27"/>
    <mergeCell ref="A28:B2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646AD-B20B-4298-946D-BE2EF2E99022}">
  <sheetPr>
    <tabColor rgb="FF3A414F"/>
  </sheetPr>
  <dimension ref="A1:N31"/>
  <sheetViews>
    <sheetView workbookViewId="0"/>
  </sheetViews>
  <sheetFormatPr defaultRowHeight="15"/>
  <cols>
    <col min="13" max="13" width="11.140625" bestFit="1" customWidth="1"/>
  </cols>
  <sheetData>
    <row r="1" spans="1:14" ht="21">
      <c r="A1" s="74" t="s">
        <v>947</v>
      </c>
      <c r="B1" s="74"/>
      <c r="C1" s="74"/>
      <c r="D1" s="74"/>
      <c r="E1" s="74"/>
      <c r="F1" s="74"/>
      <c r="G1" s="74"/>
      <c r="H1" s="74"/>
      <c r="I1" s="74"/>
      <c r="J1" s="74"/>
      <c r="K1" s="74"/>
      <c r="L1" s="74"/>
      <c r="M1" s="74"/>
      <c r="N1" s="74"/>
    </row>
    <row r="2" spans="1:14">
      <c r="A2" s="207" t="s">
        <v>948</v>
      </c>
      <c r="B2" s="207"/>
      <c r="C2" s="207"/>
      <c r="D2" s="207"/>
      <c r="E2" s="207"/>
      <c r="F2" s="207"/>
      <c r="G2" s="207"/>
      <c r="H2" s="207"/>
      <c r="I2" s="207"/>
      <c r="J2" s="207"/>
      <c r="K2" s="207"/>
      <c r="L2" s="207"/>
      <c r="M2" s="207"/>
      <c r="N2" s="207"/>
    </row>
    <row r="4" spans="1:14">
      <c r="A4" s="198" t="s">
        <v>949</v>
      </c>
      <c r="B4" s="198" t="s">
        <v>950</v>
      </c>
      <c r="C4" s="198" t="s">
        <v>951</v>
      </c>
      <c r="D4" s="198" t="s">
        <v>952</v>
      </c>
      <c r="E4" s="198" t="s">
        <v>953</v>
      </c>
      <c r="F4" s="198" t="s">
        <v>954</v>
      </c>
      <c r="G4" s="198" t="s">
        <v>955</v>
      </c>
      <c r="H4" s="198" t="s">
        <v>956</v>
      </c>
      <c r="I4" s="198" t="s">
        <v>957</v>
      </c>
      <c r="J4" s="198" t="s">
        <v>958</v>
      </c>
      <c r="K4" s="198" t="s">
        <v>959</v>
      </c>
      <c r="L4" s="198" t="s">
        <v>960</v>
      </c>
      <c r="M4" s="198" t="s">
        <v>961</v>
      </c>
      <c r="N4" s="198" t="s">
        <v>962</v>
      </c>
    </row>
    <row r="5" spans="1:14">
      <c r="A5" s="3" t="s">
        <v>963</v>
      </c>
      <c r="B5" s="3" t="s">
        <v>964</v>
      </c>
      <c r="C5" s="3" t="s">
        <v>965</v>
      </c>
      <c r="D5" s="3" t="s">
        <v>457</v>
      </c>
      <c r="E5" s="3" t="s">
        <v>457</v>
      </c>
      <c r="F5" s="3" t="s">
        <v>193</v>
      </c>
      <c r="G5" s="3" t="s">
        <v>966</v>
      </c>
      <c r="H5" s="3" t="s">
        <v>457</v>
      </c>
      <c r="I5" s="3" t="s">
        <v>967</v>
      </c>
      <c r="J5" s="3" t="s">
        <v>193</v>
      </c>
      <c r="K5" s="3" t="s">
        <v>193</v>
      </c>
      <c r="L5" s="3" t="s">
        <v>470</v>
      </c>
      <c r="M5" s="3"/>
      <c r="N5" s="3" t="s">
        <v>968</v>
      </c>
    </row>
    <row r="6" spans="1:14">
      <c r="A6" s="3" t="s">
        <v>969</v>
      </c>
      <c r="B6" s="3" t="s">
        <v>970</v>
      </c>
      <c r="C6" s="3" t="s">
        <v>971</v>
      </c>
      <c r="D6" s="3" t="s">
        <v>972</v>
      </c>
      <c r="E6" s="3" t="s">
        <v>10</v>
      </c>
      <c r="F6" s="3" t="s">
        <v>963</v>
      </c>
      <c r="G6" s="3" t="s">
        <v>966</v>
      </c>
      <c r="H6" s="3" t="s">
        <v>973</v>
      </c>
      <c r="I6" s="3" t="s">
        <v>974</v>
      </c>
      <c r="J6" s="3" t="s">
        <v>975</v>
      </c>
      <c r="K6" s="3" t="s">
        <v>976</v>
      </c>
      <c r="L6" s="3" t="s">
        <v>38</v>
      </c>
      <c r="M6" s="4">
        <v>45993</v>
      </c>
      <c r="N6" s="3" t="s">
        <v>977</v>
      </c>
    </row>
    <row r="7" spans="1:14">
      <c r="A7" s="3" t="s">
        <v>978</v>
      </c>
      <c r="B7" s="3" t="s">
        <v>979</v>
      </c>
      <c r="C7" s="3" t="s">
        <v>980</v>
      </c>
      <c r="D7" s="3" t="s">
        <v>972</v>
      </c>
      <c r="E7" s="3" t="s">
        <v>10</v>
      </c>
      <c r="F7" s="3" t="s">
        <v>963</v>
      </c>
      <c r="G7" s="3" t="s">
        <v>966</v>
      </c>
      <c r="H7" s="3" t="s">
        <v>973</v>
      </c>
      <c r="I7" s="3" t="s">
        <v>981</v>
      </c>
      <c r="J7" s="3" t="s">
        <v>982</v>
      </c>
      <c r="K7" s="3" t="s">
        <v>976</v>
      </c>
      <c r="L7" s="3" t="s">
        <v>38</v>
      </c>
      <c r="M7" s="4">
        <v>45809</v>
      </c>
      <c r="N7" s="3" t="s">
        <v>983</v>
      </c>
    </row>
    <row r="8" spans="1:14">
      <c r="A8" s="3" t="s">
        <v>984</v>
      </c>
      <c r="B8" s="3" t="s">
        <v>985</v>
      </c>
      <c r="C8" s="3" t="s">
        <v>986</v>
      </c>
      <c r="D8" s="3" t="s">
        <v>987</v>
      </c>
      <c r="E8" s="3" t="s">
        <v>22</v>
      </c>
      <c r="F8" s="3" t="s">
        <v>963</v>
      </c>
      <c r="G8" s="3" t="s">
        <v>966</v>
      </c>
      <c r="H8" s="3" t="s">
        <v>988</v>
      </c>
      <c r="I8" s="3" t="s">
        <v>989</v>
      </c>
      <c r="J8" s="3" t="s">
        <v>990</v>
      </c>
      <c r="K8" s="3" t="s">
        <v>991</v>
      </c>
      <c r="L8" s="3" t="s">
        <v>38</v>
      </c>
      <c r="M8" s="4">
        <v>45915</v>
      </c>
      <c r="N8" s="3" t="s">
        <v>992</v>
      </c>
    </row>
    <row r="9" spans="1:14">
      <c r="A9" s="3" t="s">
        <v>993</v>
      </c>
      <c r="B9" s="3" t="s">
        <v>994</v>
      </c>
      <c r="C9" s="3" t="s">
        <v>995</v>
      </c>
      <c r="D9" s="3" t="s">
        <v>972</v>
      </c>
      <c r="E9" s="3" t="s">
        <v>10</v>
      </c>
      <c r="F9" s="3" t="s">
        <v>963</v>
      </c>
      <c r="G9" s="3" t="s">
        <v>966</v>
      </c>
      <c r="H9" s="3" t="s">
        <v>996</v>
      </c>
      <c r="I9" s="3" t="s">
        <v>997</v>
      </c>
      <c r="J9" s="3" t="s">
        <v>998</v>
      </c>
      <c r="K9" s="3" t="s">
        <v>976</v>
      </c>
      <c r="L9" s="3" t="s">
        <v>38</v>
      </c>
      <c r="M9" s="4"/>
      <c r="N9" s="3" t="s">
        <v>999</v>
      </c>
    </row>
    <row r="10" spans="1:14">
      <c r="A10" s="216" t="s">
        <v>1000</v>
      </c>
      <c r="B10" s="216"/>
    </row>
    <row r="11" spans="1:14">
      <c r="A11" t="s">
        <v>1001</v>
      </c>
    </row>
    <row r="12" spans="1:14">
      <c r="A12" t="s">
        <v>1002</v>
      </c>
    </row>
    <row r="13" spans="1:14">
      <c r="A13" t="s">
        <v>1003</v>
      </c>
    </row>
    <row r="14" spans="1:14">
      <c r="A14" t="s">
        <v>1004</v>
      </c>
    </row>
    <row r="15" spans="1:14">
      <c r="A15" t="s">
        <v>1005</v>
      </c>
    </row>
    <row r="17" spans="1:14">
      <c r="A17" s="216" t="s">
        <v>1006</v>
      </c>
      <c r="B17" s="216"/>
      <c r="C17" s="216"/>
    </row>
    <row r="18" spans="1:14">
      <c r="A18" s="22" t="s">
        <v>1007</v>
      </c>
      <c r="B18" s="22" t="s">
        <v>1008</v>
      </c>
      <c r="C18" s="22" t="s">
        <v>1009</v>
      </c>
    </row>
    <row r="19" spans="1:14">
      <c r="A19" t="s">
        <v>1010</v>
      </c>
      <c r="B19" t="s">
        <v>1011</v>
      </c>
      <c r="C19" t="s">
        <v>1012</v>
      </c>
    </row>
    <row r="20" spans="1:14">
      <c r="A20" t="s">
        <v>1013</v>
      </c>
      <c r="B20" t="s">
        <v>1014</v>
      </c>
      <c r="C20" t="s">
        <v>1015</v>
      </c>
    </row>
    <row r="21" spans="1:14">
      <c r="A21" t="s">
        <v>1016</v>
      </c>
      <c r="B21" t="s">
        <v>1017</v>
      </c>
      <c r="C21" t="s">
        <v>1018</v>
      </c>
    </row>
    <row r="22" spans="1:14">
      <c r="A22" t="s">
        <v>988</v>
      </c>
      <c r="B22" t="s">
        <v>1019</v>
      </c>
      <c r="C22" t="s">
        <v>1020</v>
      </c>
    </row>
    <row r="23" spans="1:14">
      <c r="A23" t="s">
        <v>1021</v>
      </c>
      <c r="B23" t="s">
        <v>1022</v>
      </c>
      <c r="C23" t="s">
        <v>1023</v>
      </c>
    </row>
    <row r="25" spans="1:14">
      <c r="A25" s="216" t="s">
        <v>1024</v>
      </c>
      <c r="B25" s="216"/>
    </row>
    <row r="26" spans="1:14">
      <c r="A26" t="s">
        <v>1025</v>
      </c>
    </row>
    <row r="27" spans="1:14">
      <c r="A27" t="s">
        <v>1026</v>
      </c>
    </row>
    <row r="28" spans="1:14">
      <c r="A28" t="s">
        <v>1027</v>
      </c>
    </row>
    <row r="29" spans="1:14">
      <c r="A29" t="s">
        <v>1028</v>
      </c>
    </row>
    <row r="31" spans="1:14">
      <c r="A31" s="205" t="s">
        <v>1029</v>
      </c>
      <c r="B31" s="205"/>
      <c r="C31" s="205"/>
      <c r="D31" s="205"/>
      <c r="E31" s="205"/>
      <c r="F31" s="205"/>
      <c r="G31" s="205"/>
      <c r="H31" s="205"/>
      <c r="I31" s="205"/>
      <c r="J31" s="205"/>
      <c r="K31" s="205"/>
      <c r="L31" s="205"/>
      <c r="M31" s="205"/>
      <c r="N31" s="205"/>
    </row>
  </sheetData>
  <mergeCells count="6">
    <mergeCell ref="A1:N1"/>
    <mergeCell ref="A2:N2"/>
    <mergeCell ref="A10:B10"/>
    <mergeCell ref="A17:C17"/>
    <mergeCell ref="A25:B25"/>
    <mergeCell ref="A31:N31"/>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870B2-EB09-4ACD-A82E-F5AF1A7C475E}">
  <sheetPr>
    <tabColor rgb="FF3A414F"/>
  </sheetPr>
  <dimension ref="A1:Z34"/>
  <sheetViews>
    <sheetView workbookViewId="0">
      <selection sqref="A1:S1"/>
    </sheetView>
  </sheetViews>
  <sheetFormatPr defaultRowHeight="15"/>
  <cols>
    <col min="1" max="1" width="72.42578125" customWidth="1"/>
    <col min="2" max="2" width="18.140625" customWidth="1"/>
    <col min="3" max="3" width="22.85546875" customWidth="1"/>
    <col min="4" max="4" width="24.7109375" customWidth="1"/>
    <col min="5" max="6" width="21" customWidth="1"/>
    <col min="7" max="7" width="30.42578125" customWidth="1"/>
    <col min="8" max="8" width="22.85546875" customWidth="1"/>
    <col min="9" max="9" width="17.140625" customWidth="1"/>
    <col min="10" max="10" width="18.140625" customWidth="1"/>
    <col min="11" max="11" width="49.5703125" customWidth="1"/>
    <col min="12" max="12" width="21" customWidth="1"/>
    <col min="13" max="14" width="18.140625" customWidth="1"/>
    <col min="15" max="15" width="19" customWidth="1"/>
    <col min="16" max="16" width="17.140625" customWidth="1"/>
    <col min="17" max="17" width="18.140625" customWidth="1"/>
    <col min="18" max="18" width="17.140625" customWidth="1"/>
    <col min="19" max="19" width="49.5703125" customWidth="1"/>
    <col min="26" max="26" width="0" hidden="1" customWidth="1"/>
  </cols>
  <sheetData>
    <row r="1" spans="1:26" ht="21">
      <c r="A1" s="186" t="s">
        <v>1030</v>
      </c>
      <c r="B1" s="75"/>
      <c r="C1" s="75"/>
      <c r="D1" s="75"/>
      <c r="E1" s="75"/>
      <c r="F1" s="75"/>
      <c r="G1" s="75"/>
      <c r="H1" s="75"/>
      <c r="I1" s="75"/>
      <c r="J1" s="75"/>
      <c r="K1" s="75"/>
      <c r="L1" s="75"/>
      <c r="M1" s="75"/>
      <c r="N1" s="75"/>
      <c r="O1" s="75"/>
      <c r="P1" s="75"/>
      <c r="Q1" s="75"/>
      <c r="R1" s="75"/>
      <c r="S1" s="75"/>
      <c r="Z1" t="s">
        <v>1031</v>
      </c>
    </row>
    <row r="2" spans="1:26">
      <c r="A2" s="207" t="s">
        <v>1032</v>
      </c>
      <c r="B2" s="218"/>
      <c r="C2" s="218"/>
      <c r="D2" s="218"/>
      <c r="E2" s="218"/>
      <c r="F2" s="218"/>
      <c r="G2" s="218"/>
      <c r="H2" s="218"/>
      <c r="I2" s="218"/>
      <c r="J2" s="218"/>
      <c r="K2" s="218"/>
      <c r="L2" s="218"/>
      <c r="M2" s="218"/>
      <c r="N2" s="218"/>
      <c r="O2" s="218"/>
      <c r="P2" s="218"/>
      <c r="Q2" s="218"/>
      <c r="R2" s="218"/>
      <c r="S2" s="218"/>
      <c r="Z2" t="s">
        <v>1033</v>
      </c>
    </row>
    <row r="3" spans="1:26">
      <c r="Z3" t="s">
        <v>1034</v>
      </c>
    </row>
    <row r="4" spans="1:26" ht="15.75">
      <c r="A4" s="1" t="s">
        <v>1035</v>
      </c>
      <c r="Z4" t="s">
        <v>1036</v>
      </c>
    </row>
    <row r="5" spans="1:26">
      <c r="A5" t="s">
        <v>1037</v>
      </c>
      <c r="B5" s="2">
        <f>COUNTA(TablePipeline[Lead ID])</f>
        <v>5</v>
      </c>
      <c r="C5" t="s">
        <v>296</v>
      </c>
      <c r="D5" s="2">
        <f>COUNTIF(TablePipeline[Pipeline Stage],"Ready for DD")</f>
        <v>1</v>
      </c>
      <c r="E5" t="s">
        <v>1038</v>
      </c>
      <c r="F5" s="2">
        <f ca="1">COUNTIFS(TablePipeline[Next Action Date],"&gt;="&amp;TODAY(),TablePipeline[Next Action Date],"&lt;"&amp;TODAY()+7)</f>
        <v>0</v>
      </c>
      <c r="G5" t="s">
        <v>1039</v>
      </c>
      <c r="H5" s="2">
        <f>COUNTIF(TablePipeline[Thesis Fit],"Strong")</f>
        <v>2</v>
      </c>
      <c r="Z5" t="s">
        <v>1040</v>
      </c>
    </row>
    <row r="6" spans="1:26">
      <c r="A6" s="35"/>
      <c r="B6" s="35"/>
      <c r="C6" s="35"/>
      <c r="D6" s="35"/>
      <c r="E6" s="35"/>
      <c r="F6" s="35"/>
      <c r="G6" s="35"/>
      <c r="H6" s="35"/>
      <c r="I6" s="35"/>
      <c r="J6" s="35"/>
      <c r="K6" s="35"/>
      <c r="L6" s="35"/>
      <c r="M6" s="35"/>
      <c r="N6" s="35"/>
      <c r="Z6" t="s">
        <v>296</v>
      </c>
    </row>
    <row r="7" spans="1:26">
      <c r="A7" s="35" t="s">
        <v>1041</v>
      </c>
      <c r="B7" s="35" t="s">
        <v>1042</v>
      </c>
      <c r="C7" s="35" t="s">
        <v>817</v>
      </c>
      <c r="D7" s="35" t="s">
        <v>1043</v>
      </c>
      <c r="E7" s="35" t="s">
        <v>1044</v>
      </c>
      <c r="F7" s="35" t="s">
        <v>337</v>
      </c>
      <c r="G7" s="35" t="s">
        <v>1045</v>
      </c>
      <c r="H7" s="35" t="s">
        <v>1046</v>
      </c>
      <c r="I7" s="35" t="s">
        <v>1047</v>
      </c>
      <c r="J7" s="35" t="s">
        <v>28</v>
      </c>
      <c r="K7" s="35" t="s">
        <v>1048</v>
      </c>
      <c r="L7" s="35" t="s">
        <v>1049</v>
      </c>
      <c r="M7" s="35" t="s">
        <v>1050</v>
      </c>
      <c r="N7" s="35" t="s">
        <v>1051</v>
      </c>
      <c r="O7" s="35" t="s">
        <v>1052</v>
      </c>
      <c r="P7" s="35" t="s">
        <v>1053</v>
      </c>
      <c r="Q7" s="35" t="s">
        <v>1054</v>
      </c>
      <c r="R7" s="35" t="s">
        <v>1055</v>
      </c>
      <c r="S7" s="35" t="s">
        <v>305</v>
      </c>
      <c r="Z7" t="s">
        <v>344</v>
      </c>
    </row>
    <row r="8" spans="1:26">
      <c r="A8" s="3" t="s">
        <v>1056</v>
      </c>
      <c r="B8" s="4">
        <v>46091</v>
      </c>
      <c r="C8" s="3" t="s">
        <v>1057</v>
      </c>
      <c r="D8" s="3" t="s">
        <v>1058</v>
      </c>
      <c r="E8" s="3" t="s">
        <v>1059</v>
      </c>
      <c r="F8" s="3" t="s">
        <v>1060</v>
      </c>
      <c r="G8" s="3" t="s">
        <v>1061</v>
      </c>
      <c r="H8" s="3" t="s">
        <v>1036</v>
      </c>
      <c r="I8" s="3" t="s">
        <v>344</v>
      </c>
      <c r="J8" s="3" t="s">
        <v>38</v>
      </c>
      <c r="K8" s="3" t="s">
        <v>1062</v>
      </c>
      <c r="L8" s="4">
        <v>46105</v>
      </c>
      <c r="M8" s="3" t="s">
        <v>1063</v>
      </c>
      <c r="N8" s="3" t="s">
        <v>1064</v>
      </c>
      <c r="O8" s="9">
        <v>1500</v>
      </c>
      <c r="P8" s="3" t="s">
        <v>1065</v>
      </c>
      <c r="Q8" s="4">
        <v>46101</v>
      </c>
      <c r="R8" s="3">
        <v>5</v>
      </c>
      <c r="S8" s="3" t="s">
        <v>1066</v>
      </c>
      <c r="Z8" t="s">
        <v>1067</v>
      </c>
    </row>
    <row r="9" spans="1:26">
      <c r="A9" s="3" t="s">
        <v>1068</v>
      </c>
      <c r="B9" s="4">
        <v>46093</v>
      </c>
      <c r="C9" s="3" t="s">
        <v>1069</v>
      </c>
      <c r="D9" s="3" t="s">
        <v>1070</v>
      </c>
      <c r="E9" s="3" t="s">
        <v>1071</v>
      </c>
      <c r="F9" s="3" t="s">
        <v>1072</v>
      </c>
      <c r="G9" s="3" t="s">
        <v>1073</v>
      </c>
      <c r="H9" s="3" t="s">
        <v>1034</v>
      </c>
      <c r="I9" s="3" t="s">
        <v>1067</v>
      </c>
      <c r="J9" s="3" t="s">
        <v>33</v>
      </c>
      <c r="K9" s="3" t="s">
        <v>1074</v>
      </c>
      <c r="L9" s="4">
        <v>46106</v>
      </c>
      <c r="M9" s="3" t="s">
        <v>1075</v>
      </c>
      <c r="N9" s="3" t="s">
        <v>1076</v>
      </c>
      <c r="O9" s="9">
        <v>3000</v>
      </c>
      <c r="P9" s="3" t="s">
        <v>1077</v>
      </c>
      <c r="Q9" s="4">
        <v>46099</v>
      </c>
      <c r="R9" s="3">
        <v>3</v>
      </c>
      <c r="S9" s="3" t="s">
        <v>1078</v>
      </c>
      <c r="Z9" t="s">
        <v>1075</v>
      </c>
    </row>
    <row r="10" spans="1:26">
      <c r="A10" s="3" t="s">
        <v>1079</v>
      </c>
      <c r="B10" s="4">
        <v>46096</v>
      </c>
      <c r="C10" s="3" t="s">
        <v>1080</v>
      </c>
      <c r="D10" s="3" t="s">
        <v>1081</v>
      </c>
      <c r="E10" s="3" t="s">
        <v>1082</v>
      </c>
      <c r="F10" s="3" t="s">
        <v>1083</v>
      </c>
      <c r="G10" s="3" t="s">
        <v>1084</v>
      </c>
      <c r="H10" s="3" t="s">
        <v>1033</v>
      </c>
      <c r="I10" s="3" t="s">
        <v>1075</v>
      </c>
      <c r="J10" s="3" t="s">
        <v>33</v>
      </c>
      <c r="K10" s="3" t="s">
        <v>1085</v>
      </c>
      <c r="L10" s="4">
        <v>46108</v>
      </c>
      <c r="M10" s="3" t="s">
        <v>1086</v>
      </c>
      <c r="N10" s="3" t="s">
        <v>1064</v>
      </c>
      <c r="O10" s="9">
        <v>1000</v>
      </c>
      <c r="P10" s="3" t="s">
        <v>1087</v>
      </c>
      <c r="Q10" s="4">
        <v>46096</v>
      </c>
      <c r="R10" s="3">
        <v>3</v>
      </c>
      <c r="S10" s="3" t="s">
        <v>1088</v>
      </c>
      <c r="Z10" t="s">
        <v>1089</v>
      </c>
    </row>
    <row r="11" spans="1:26">
      <c r="A11" s="3" t="s">
        <v>1090</v>
      </c>
      <c r="B11" s="4">
        <v>46099</v>
      </c>
      <c r="C11" s="3" t="s">
        <v>1091</v>
      </c>
      <c r="D11" s="3" t="s">
        <v>1092</v>
      </c>
      <c r="E11" s="3" t="s">
        <v>1093</v>
      </c>
      <c r="F11" s="3" t="s">
        <v>1094</v>
      </c>
      <c r="G11" s="3" t="s">
        <v>1095</v>
      </c>
      <c r="H11" s="3" t="s">
        <v>1031</v>
      </c>
      <c r="I11" s="3" t="s">
        <v>1089</v>
      </c>
      <c r="J11" s="3" t="s">
        <v>33</v>
      </c>
      <c r="K11" s="3" t="s">
        <v>1096</v>
      </c>
      <c r="L11" s="4">
        <v>46107</v>
      </c>
      <c r="M11" s="3" t="s">
        <v>1086</v>
      </c>
      <c r="N11" s="3" t="s">
        <v>1097</v>
      </c>
      <c r="O11" s="9">
        <v>500</v>
      </c>
      <c r="P11" s="3" t="s">
        <v>1098</v>
      </c>
      <c r="Q11" s="4">
        <v>46099</v>
      </c>
      <c r="R11" s="3">
        <v>2</v>
      </c>
      <c r="S11" s="3"/>
      <c r="Z11" t="s">
        <v>1072</v>
      </c>
    </row>
    <row r="12" spans="1:26">
      <c r="A12" s="3" t="s">
        <v>1099</v>
      </c>
      <c r="B12" s="4">
        <v>46089</v>
      </c>
      <c r="C12" s="3" t="s">
        <v>1100</v>
      </c>
      <c r="D12" s="3" t="s">
        <v>1101</v>
      </c>
      <c r="E12" s="3" t="s">
        <v>1102</v>
      </c>
      <c r="F12" s="3" t="s">
        <v>1103</v>
      </c>
      <c r="G12" s="3" t="s">
        <v>1104</v>
      </c>
      <c r="H12" s="3" t="s">
        <v>296</v>
      </c>
      <c r="I12" s="3" t="s">
        <v>344</v>
      </c>
      <c r="J12" s="3" t="s">
        <v>38</v>
      </c>
      <c r="K12" s="3" t="s">
        <v>1105</v>
      </c>
      <c r="L12" s="4">
        <v>46104</v>
      </c>
      <c r="M12" s="3" t="s">
        <v>1063</v>
      </c>
      <c r="N12" s="3" t="s">
        <v>1076</v>
      </c>
      <c r="O12" s="9">
        <v>4000</v>
      </c>
      <c r="P12" s="3" t="s">
        <v>1106</v>
      </c>
      <c r="Q12" s="4">
        <v>46102</v>
      </c>
      <c r="R12" s="3">
        <v>5</v>
      </c>
      <c r="S12" s="3" t="s">
        <v>1107</v>
      </c>
      <c r="Z12" t="s">
        <v>1060</v>
      </c>
    </row>
    <row r="13" spans="1:26">
      <c r="Z13" t="s">
        <v>1094</v>
      </c>
    </row>
    <row r="14" spans="1:26">
      <c r="Z14" t="s">
        <v>1083</v>
      </c>
    </row>
    <row r="15" spans="1:26">
      <c r="Z15" t="s">
        <v>1103</v>
      </c>
    </row>
    <row r="16" spans="1:26">
      <c r="Z16" t="s">
        <v>451</v>
      </c>
    </row>
    <row r="17" spans="26:26">
      <c r="Z17" t="s">
        <v>1108</v>
      </c>
    </row>
    <row r="18" spans="26:26">
      <c r="Z18" t="s">
        <v>1109</v>
      </c>
    </row>
    <row r="19" spans="26:26">
      <c r="Z19" t="s">
        <v>1063</v>
      </c>
    </row>
    <row r="20" spans="26:26">
      <c r="Z20" t="s">
        <v>1075</v>
      </c>
    </row>
    <row r="21" spans="26:26">
      <c r="Z21" t="s">
        <v>1110</v>
      </c>
    </row>
    <row r="22" spans="26:26">
      <c r="Z22" t="s">
        <v>1086</v>
      </c>
    </row>
    <row r="23" spans="26:26">
      <c r="Z23" t="s">
        <v>1097</v>
      </c>
    </row>
    <row r="24" spans="26:26">
      <c r="Z24" t="s">
        <v>1064</v>
      </c>
    </row>
    <row r="25" spans="26:26">
      <c r="Z25" t="s">
        <v>1076</v>
      </c>
    </row>
    <row r="26" spans="26:26">
      <c r="Z26" t="s">
        <v>1111</v>
      </c>
    </row>
    <row r="27" spans="26:26">
      <c r="Z27" t="s">
        <v>1112</v>
      </c>
    </row>
    <row r="28" spans="26:26">
      <c r="Z28" t="s">
        <v>1113</v>
      </c>
    </row>
    <row r="29" spans="26:26">
      <c r="Z29" t="s">
        <v>1109</v>
      </c>
    </row>
    <row r="30" spans="26:26">
      <c r="Z30" t="s">
        <v>1114</v>
      </c>
    </row>
    <row r="31" spans="26:26">
      <c r="Z31" t="s">
        <v>1115</v>
      </c>
    </row>
    <row r="32" spans="26:26">
      <c r="Z32" t="s">
        <v>1116</v>
      </c>
    </row>
    <row r="33" spans="26:26">
      <c r="Z33" t="s">
        <v>1117</v>
      </c>
    </row>
    <row r="34" spans="26:26">
      <c r="Z34" t="s">
        <v>228</v>
      </c>
    </row>
  </sheetData>
  <mergeCells count="2">
    <mergeCell ref="A1:S1"/>
    <mergeCell ref="A2:S2"/>
  </mergeCells>
  <conditionalFormatting sqref="I8:I300">
    <cfRule type="cellIs" dxfId="383" priority="1" operator="equal">
      <formula>"Critical"</formula>
    </cfRule>
  </conditionalFormatting>
  <conditionalFormatting sqref="I8:I300">
    <cfRule type="cellIs" dxfId="382" priority="2" operator="equal">
      <formula>"High"</formula>
    </cfRule>
  </conditionalFormatting>
  <conditionalFormatting sqref="I8:I300">
    <cfRule type="cellIs" dxfId="381" priority="3" operator="equal">
      <formula>"Medium"</formula>
    </cfRule>
  </conditionalFormatting>
  <conditionalFormatting sqref="I8:I300">
    <cfRule type="cellIs" dxfId="380" priority="4" operator="equal">
      <formula>"Low"</formula>
    </cfRule>
  </conditionalFormatting>
  <conditionalFormatting sqref="H8:H300">
    <cfRule type="cellIs" dxfId="379" priority="5" operator="equal">
      <formula>"Ready for DD"</formula>
    </cfRule>
  </conditionalFormatting>
  <conditionalFormatting sqref="H8:H300">
    <cfRule type="cellIs" dxfId="378" priority="6" operator="equal">
      <formula>"Partner Meeting"</formula>
    </cfRule>
  </conditionalFormatting>
  <conditionalFormatting sqref="M8:M300">
    <cfRule type="cellIs" dxfId="377" priority="7" operator="equal">
      <formula>"Strong"</formula>
    </cfRule>
  </conditionalFormatting>
  <conditionalFormatting sqref="M8:M300">
    <cfRule type="cellIs" dxfId="376" priority="8" operator="equal">
      <formula>"Weak"</formula>
    </cfRule>
  </conditionalFormatting>
  <dataValidations count="5">
    <dataValidation type="list" allowBlank="1" showInputMessage="1" showErrorMessage="1" sqref="H8:H300" xr:uid="{149BFE4D-FCA0-4DEC-B84D-9C8B04CFBB69}">
      <formula1>$Z$1:$Z$6</formula1>
    </dataValidation>
    <dataValidation type="list" allowBlank="1" showInputMessage="1" showErrorMessage="1" sqref="I8:I300" xr:uid="{F08BBEF1-838E-4D4C-BDE7-F859A5CD1D6D}">
      <formula1>$Z$7:$Z$10</formula1>
    </dataValidation>
    <dataValidation type="list" allowBlank="1" showInputMessage="1" showErrorMessage="1" sqref="F8:F300" xr:uid="{AFCF9A27-64D5-440C-ABA8-193DDEF0876B}">
      <formula1>$Z$11:$Z$18</formula1>
    </dataValidation>
    <dataValidation type="list" allowBlank="1" showInputMessage="1" showErrorMessage="1" sqref="M8:M300" xr:uid="{0D75D70E-1931-4314-9C32-0EB807B4C111}">
      <formula1>$Z$19:$Z$22</formula1>
    </dataValidation>
    <dataValidation type="list" allowBlank="1" showInputMessage="1" showErrorMessage="1" sqref="N8:N300" xr:uid="{90E11BBC-E57D-44D3-B787-55FBC1DF7A6D}">
      <formula1>$Z$23:$Z$29</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ED30-0FBB-431B-955F-6EBB21C9C954}">
  <sheetPr>
    <tabColor rgb="FF548235"/>
  </sheetPr>
  <dimension ref="A1:Z8"/>
  <sheetViews>
    <sheetView workbookViewId="0"/>
  </sheetViews>
  <sheetFormatPr defaultRowHeight="15"/>
  <cols>
    <col min="1" max="1" width="64.7109375" customWidth="1"/>
    <col min="2" max="2" width="18.140625" customWidth="1"/>
    <col min="3" max="3" width="26.7109375" customWidth="1"/>
    <col min="4" max="4" width="22.85546875" customWidth="1"/>
    <col min="5" max="6" width="19" customWidth="1"/>
    <col min="7" max="8" width="21" customWidth="1"/>
    <col min="9" max="9" width="17.140625" customWidth="1"/>
    <col min="10" max="12" width="18.140625" customWidth="1"/>
    <col min="13" max="13" width="19" customWidth="1"/>
    <col min="14" max="15" width="17.140625" customWidth="1"/>
    <col min="16" max="16" width="22.85546875" customWidth="1"/>
    <col min="17" max="17" width="41.85546875" customWidth="1"/>
    <col min="18" max="18" width="19" customWidth="1"/>
    <col min="19" max="19" width="18.140625" customWidth="1"/>
    <col min="20" max="20" width="41.85546875" customWidth="1"/>
    <col min="26" max="26" width="0" hidden="1" customWidth="1"/>
  </cols>
  <sheetData>
    <row r="1" spans="1:26" ht="21">
      <c r="A1" s="187" t="s">
        <v>1118</v>
      </c>
      <c r="B1" s="76"/>
      <c r="C1" s="76"/>
      <c r="D1" s="76"/>
      <c r="E1" s="76"/>
      <c r="F1" s="76"/>
      <c r="G1" s="76"/>
      <c r="H1" s="76"/>
      <c r="I1" s="76"/>
      <c r="J1" s="76"/>
      <c r="K1" s="76"/>
      <c r="L1" s="76"/>
      <c r="M1" s="76"/>
      <c r="N1" s="76"/>
      <c r="O1" s="76"/>
      <c r="P1" s="76"/>
      <c r="Q1" s="76"/>
      <c r="R1" s="76"/>
      <c r="S1" s="76"/>
      <c r="T1" s="76"/>
      <c r="Z1" t="s">
        <v>1119</v>
      </c>
    </row>
    <row r="2" spans="1:26">
      <c r="A2" s="207" t="s">
        <v>1120</v>
      </c>
      <c r="B2" s="218"/>
      <c r="C2" s="218"/>
      <c r="D2" s="218"/>
      <c r="E2" s="218"/>
      <c r="F2" s="218"/>
      <c r="G2" s="218"/>
      <c r="H2" s="218"/>
      <c r="I2" s="218"/>
      <c r="J2" s="218"/>
      <c r="K2" s="218"/>
      <c r="L2" s="218"/>
      <c r="M2" s="218"/>
      <c r="N2" s="218"/>
      <c r="O2" s="218"/>
      <c r="P2" s="218"/>
      <c r="Q2" s="218"/>
      <c r="R2" s="218"/>
      <c r="S2" s="218"/>
      <c r="T2" s="218"/>
      <c r="Z2" t="s">
        <v>1121</v>
      </c>
    </row>
    <row r="3" spans="1:26">
      <c r="Z3" t="s">
        <v>1122</v>
      </c>
    </row>
    <row r="4" spans="1:26">
      <c r="A4" t="s">
        <v>1123</v>
      </c>
      <c r="B4" s="2">
        <f>COUNTA(TablePipelineClosed[Lead ID])</f>
        <v>2</v>
      </c>
      <c r="C4" t="s">
        <v>1119</v>
      </c>
      <c r="D4" s="2">
        <f>COUNTIF(TablePipelineClosed[Outcome],"Advanced to DD")</f>
        <v>1</v>
      </c>
      <c r="E4" t="s">
        <v>1124</v>
      </c>
      <c r="F4" s="2">
        <f>COUNTIF(TablePipelineClosed[Outcome],"Pass")</f>
        <v>1</v>
      </c>
      <c r="Z4" t="s">
        <v>1125</v>
      </c>
    </row>
    <row r="5" spans="1:26">
      <c r="Z5" t="s">
        <v>1126</v>
      </c>
    </row>
    <row r="6" spans="1:26">
      <c r="A6" s="5" t="s">
        <v>1041</v>
      </c>
      <c r="B6" s="5" t="s">
        <v>1042</v>
      </c>
      <c r="C6" s="5" t="s">
        <v>817</v>
      </c>
      <c r="D6" s="5" t="s">
        <v>1043</v>
      </c>
      <c r="E6" s="5" t="s">
        <v>1044</v>
      </c>
      <c r="F6" s="5" t="s">
        <v>337</v>
      </c>
      <c r="G6" s="5" t="s">
        <v>1045</v>
      </c>
      <c r="H6" s="5" t="s">
        <v>1127</v>
      </c>
      <c r="I6" s="5" t="s">
        <v>1047</v>
      </c>
      <c r="J6" s="5" t="s">
        <v>28</v>
      </c>
      <c r="K6" s="5" t="s">
        <v>1050</v>
      </c>
      <c r="L6" s="5" t="s">
        <v>1051</v>
      </c>
      <c r="M6" s="5" t="s">
        <v>1052</v>
      </c>
      <c r="N6" s="5" t="s">
        <v>1053</v>
      </c>
      <c r="O6" s="5" t="s">
        <v>1055</v>
      </c>
      <c r="P6" s="5" t="s">
        <v>30</v>
      </c>
      <c r="Q6" s="5" t="s">
        <v>1128</v>
      </c>
      <c r="R6" s="5" t="s">
        <v>1129</v>
      </c>
      <c r="S6" s="5" t="s">
        <v>1130</v>
      </c>
      <c r="T6" s="5" t="s">
        <v>305</v>
      </c>
    </row>
    <row r="7" spans="1:26">
      <c r="A7" s="3" t="s">
        <v>1131</v>
      </c>
      <c r="B7" s="4">
        <v>46042</v>
      </c>
      <c r="C7" s="3" t="s">
        <v>1132</v>
      </c>
      <c r="D7" s="3" t="s">
        <v>1133</v>
      </c>
      <c r="E7" s="3" t="s">
        <v>1134</v>
      </c>
      <c r="F7" s="3" t="s">
        <v>1072</v>
      </c>
      <c r="G7" s="3" t="s">
        <v>1135</v>
      </c>
      <c r="H7" s="3" t="s">
        <v>1033</v>
      </c>
      <c r="I7" s="3" t="s">
        <v>1089</v>
      </c>
      <c r="J7" s="3" t="s">
        <v>33</v>
      </c>
      <c r="K7" s="3" t="s">
        <v>1110</v>
      </c>
      <c r="L7" s="3" t="s">
        <v>1064</v>
      </c>
      <c r="M7" s="9">
        <v>750</v>
      </c>
      <c r="N7" s="3" t="s">
        <v>1136</v>
      </c>
      <c r="O7" s="3">
        <v>1</v>
      </c>
      <c r="P7" s="3" t="s">
        <v>1121</v>
      </c>
      <c r="Q7" s="3" t="s">
        <v>1137</v>
      </c>
      <c r="R7" s="4">
        <v>46050</v>
      </c>
      <c r="S7" s="3" t="s">
        <v>33</v>
      </c>
      <c r="T7" s="3" t="s">
        <v>1138</v>
      </c>
    </row>
    <row r="8" spans="1:26">
      <c r="A8" s="3" t="s">
        <v>1139</v>
      </c>
      <c r="B8" s="4">
        <v>46054</v>
      </c>
      <c r="C8" s="3" t="s">
        <v>1140</v>
      </c>
      <c r="D8" s="3" t="s">
        <v>1141</v>
      </c>
      <c r="E8" s="3" t="s">
        <v>1142</v>
      </c>
      <c r="F8" s="3" t="s">
        <v>1060</v>
      </c>
      <c r="G8" s="3" t="s">
        <v>1143</v>
      </c>
      <c r="H8" s="3" t="s">
        <v>296</v>
      </c>
      <c r="I8" s="3" t="s">
        <v>344</v>
      </c>
      <c r="J8" s="3" t="s">
        <v>38</v>
      </c>
      <c r="K8" s="3" t="s">
        <v>1063</v>
      </c>
      <c r="L8" s="3" t="s">
        <v>1076</v>
      </c>
      <c r="M8" s="9">
        <v>2500</v>
      </c>
      <c r="N8" s="3" t="s">
        <v>1065</v>
      </c>
      <c r="O8" s="3">
        <v>5</v>
      </c>
      <c r="P8" s="3" t="s">
        <v>1119</v>
      </c>
      <c r="Q8" s="3" t="s">
        <v>1144</v>
      </c>
      <c r="R8" s="4">
        <v>46073</v>
      </c>
      <c r="S8" s="3" t="s">
        <v>38</v>
      </c>
      <c r="T8" s="3" t="s">
        <v>1145</v>
      </c>
    </row>
  </sheetData>
  <mergeCells count="2">
    <mergeCell ref="A1:T1"/>
    <mergeCell ref="A2:T2"/>
  </mergeCells>
  <conditionalFormatting sqref="P7:P300">
    <cfRule type="cellIs" dxfId="354" priority="1" operator="equal">
      <formula>"Advanced to DD"</formula>
    </cfRule>
  </conditionalFormatting>
  <conditionalFormatting sqref="P7:P300">
    <cfRule type="cellIs" dxfId="353" priority="2" operator="equal">
      <formula>"Pass"</formula>
    </cfRule>
  </conditionalFormatting>
  <dataValidations count="1">
    <dataValidation type="list" allowBlank="1" showInputMessage="1" showErrorMessage="1" sqref="P7:P300" xr:uid="{4D39B596-8755-4206-8E06-6353D7E2398F}">
      <formula1>$Z$1:$Z$5</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A03DC-D3D7-45F2-9A91-411877836FA5}">
  <sheetPr>
    <tabColor rgb="FF3A414F"/>
  </sheetPr>
  <dimension ref="A1:Z15"/>
  <sheetViews>
    <sheetView workbookViewId="0"/>
  </sheetViews>
  <sheetFormatPr defaultRowHeight="15"/>
  <cols>
    <col min="1" max="1" width="68.5703125" customWidth="1"/>
    <col min="2" max="2" width="18.140625" customWidth="1"/>
    <col min="3" max="3" width="22.85546875" customWidth="1"/>
    <col min="4" max="4" width="17.140625" customWidth="1"/>
    <col min="5" max="5" width="22.85546875" customWidth="1"/>
    <col min="6" max="6" width="61" customWidth="1"/>
    <col min="7" max="7" width="17.140625" customWidth="1"/>
    <col min="8" max="8" width="21" customWidth="1"/>
    <col min="9" max="10" width="18.140625" customWidth="1"/>
    <col min="11" max="11" width="41.85546875" customWidth="1"/>
    <col min="12" max="12" width="22.85546875" customWidth="1"/>
    <col min="26" max="26" width="0" hidden="1" customWidth="1"/>
  </cols>
  <sheetData>
    <row r="1" spans="1:26" ht="21">
      <c r="A1" s="186" t="s">
        <v>1146</v>
      </c>
      <c r="B1" s="75"/>
      <c r="C1" s="75"/>
      <c r="D1" s="75"/>
      <c r="E1" s="75"/>
      <c r="F1" s="75"/>
      <c r="G1" s="75"/>
      <c r="H1" s="75"/>
      <c r="I1" s="75"/>
      <c r="J1" s="75"/>
      <c r="K1" s="75"/>
      <c r="L1" s="75"/>
      <c r="Z1" t="s">
        <v>1031</v>
      </c>
    </row>
    <row r="2" spans="1:26">
      <c r="A2" s="207" t="s">
        <v>1147</v>
      </c>
      <c r="B2" s="218"/>
      <c r="C2" s="218"/>
      <c r="D2" s="218"/>
      <c r="E2" s="218"/>
      <c r="F2" s="218"/>
      <c r="G2" s="218"/>
      <c r="H2" s="218"/>
      <c r="I2" s="218"/>
      <c r="J2" s="218"/>
      <c r="K2" s="218"/>
      <c r="L2" s="218"/>
      <c r="Z2" t="s">
        <v>1033</v>
      </c>
    </row>
    <row r="3" spans="1:26">
      <c r="Z3" t="s">
        <v>1034</v>
      </c>
    </row>
    <row r="4" spans="1:26">
      <c r="A4" t="s">
        <v>1148</v>
      </c>
      <c r="B4" s="2">
        <f>COUNTA(TableLeadTasks[Task ID])</f>
        <v>4</v>
      </c>
      <c r="C4" t="s">
        <v>1149</v>
      </c>
      <c r="D4" s="2">
        <f>COUNTIFS(TableLeadTasks[Priority],"Critical")+COUNTIFS(TableLeadTasks[Priority],"High")</f>
        <v>4</v>
      </c>
      <c r="E4" t="s">
        <v>1116</v>
      </c>
      <c r="F4" s="2">
        <f>COUNTIF(TableLeadTasks[Status],"Blocked")</f>
        <v>0</v>
      </c>
      <c r="Z4" t="s">
        <v>1036</v>
      </c>
    </row>
    <row r="5" spans="1:26">
      <c r="Z5" t="s">
        <v>1040</v>
      </c>
    </row>
    <row r="6" spans="1:26">
      <c r="A6" s="35" t="s">
        <v>1150</v>
      </c>
      <c r="B6" s="35" t="s">
        <v>1042</v>
      </c>
      <c r="C6" s="35" t="s">
        <v>817</v>
      </c>
      <c r="D6" s="35" t="s">
        <v>1041</v>
      </c>
      <c r="E6" s="35" t="s">
        <v>1151</v>
      </c>
      <c r="F6" s="35" t="s">
        <v>1152</v>
      </c>
      <c r="G6" s="35" t="s">
        <v>1047</v>
      </c>
      <c r="H6" s="35" t="s">
        <v>279</v>
      </c>
      <c r="I6" s="35" t="s">
        <v>28</v>
      </c>
      <c r="J6" s="35" t="s">
        <v>1153</v>
      </c>
      <c r="K6" s="35" t="s">
        <v>305</v>
      </c>
      <c r="L6" s="35" t="s">
        <v>1154</v>
      </c>
      <c r="M6" s="35"/>
      <c r="N6" s="35"/>
      <c r="Z6" t="s">
        <v>296</v>
      </c>
    </row>
    <row r="7" spans="1:26">
      <c r="A7" s="3" t="s">
        <v>1155</v>
      </c>
      <c r="B7" s="4">
        <v>46101</v>
      </c>
      <c r="C7" s="3" t="s">
        <v>1057</v>
      </c>
      <c r="D7" s="3" t="s">
        <v>1056</v>
      </c>
      <c r="E7" s="3" t="s">
        <v>1036</v>
      </c>
      <c r="F7" s="3" t="s">
        <v>1156</v>
      </c>
      <c r="G7" s="3" t="s">
        <v>344</v>
      </c>
      <c r="H7" s="3" t="s">
        <v>1115</v>
      </c>
      <c r="I7" s="3" t="s">
        <v>33</v>
      </c>
      <c r="J7" s="4">
        <v>46104</v>
      </c>
      <c r="K7" s="3" t="s">
        <v>1157</v>
      </c>
      <c r="L7" s="3"/>
      <c r="Z7" t="s">
        <v>1158</v>
      </c>
    </row>
    <row r="8" spans="1:26">
      <c r="A8" s="3" t="s">
        <v>1159</v>
      </c>
      <c r="B8" s="4">
        <v>46099</v>
      </c>
      <c r="C8" s="3" t="s">
        <v>1069</v>
      </c>
      <c r="D8" s="3" t="s">
        <v>1068</v>
      </c>
      <c r="E8" s="3" t="s">
        <v>1034</v>
      </c>
      <c r="F8" s="3" t="s">
        <v>1160</v>
      </c>
      <c r="G8" s="3" t="s">
        <v>1067</v>
      </c>
      <c r="H8" s="3" t="s">
        <v>1114</v>
      </c>
      <c r="I8" s="3" t="s">
        <v>33</v>
      </c>
      <c r="J8" s="4">
        <v>46106</v>
      </c>
      <c r="K8" s="3"/>
      <c r="L8" s="3"/>
      <c r="Z8" t="s">
        <v>344</v>
      </c>
    </row>
    <row r="9" spans="1:26">
      <c r="A9" s="3" t="s">
        <v>1161</v>
      </c>
      <c r="B9" s="4">
        <v>46096</v>
      </c>
      <c r="C9" s="3" t="s">
        <v>1080</v>
      </c>
      <c r="D9" s="3" t="s">
        <v>1079</v>
      </c>
      <c r="E9" s="3" t="s">
        <v>1033</v>
      </c>
      <c r="F9" s="3" t="s">
        <v>1162</v>
      </c>
      <c r="G9" s="3" t="s">
        <v>344</v>
      </c>
      <c r="H9" s="3" t="s">
        <v>1115</v>
      </c>
      <c r="I9" s="3" t="s">
        <v>33</v>
      </c>
      <c r="J9" s="4">
        <v>46108</v>
      </c>
      <c r="K9" s="3" t="s">
        <v>1163</v>
      </c>
      <c r="L9" s="3"/>
      <c r="Z9" t="s">
        <v>1067</v>
      </c>
    </row>
    <row r="10" spans="1:26">
      <c r="A10" s="3" t="s">
        <v>1164</v>
      </c>
      <c r="B10" s="4">
        <v>46102</v>
      </c>
      <c r="C10" s="3" t="s">
        <v>1100</v>
      </c>
      <c r="D10" s="3" t="s">
        <v>1099</v>
      </c>
      <c r="E10" s="3" t="s">
        <v>296</v>
      </c>
      <c r="F10" s="3" t="s">
        <v>1165</v>
      </c>
      <c r="G10" s="3" t="s">
        <v>344</v>
      </c>
      <c r="H10" s="3" t="s">
        <v>1114</v>
      </c>
      <c r="I10" s="3" t="s">
        <v>38</v>
      </c>
      <c r="J10" s="4">
        <v>46104</v>
      </c>
      <c r="K10" s="3" t="s">
        <v>1166</v>
      </c>
      <c r="L10" s="3"/>
      <c r="Z10" t="s">
        <v>1075</v>
      </c>
    </row>
    <row r="11" spans="1:26">
      <c r="Z11" t="s">
        <v>1089</v>
      </c>
    </row>
    <row r="12" spans="1:26">
      <c r="Z12" t="s">
        <v>1114</v>
      </c>
    </row>
    <row r="13" spans="1:26">
      <c r="Z13" t="s">
        <v>1115</v>
      </c>
    </row>
    <row r="14" spans="1:26">
      <c r="Z14" t="s">
        <v>1116</v>
      </c>
    </row>
    <row r="15" spans="1:26">
      <c r="Z15" t="s">
        <v>228</v>
      </c>
    </row>
  </sheetData>
  <mergeCells count="2">
    <mergeCell ref="A1:L1"/>
    <mergeCell ref="A2:L2"/>
  </mergeCells>
  <conditionalFormatting sqref="G7:G300">
    <cfRule type="cellIs" dxfId="330" priority="1" operator="equal">
      <formula>"Critical"</formula>
    </cfRule>
  </conditionalFormatting>
  <conditionalFormatting sqref="G7:G300">
    <cfRule type="cellIs" dxfId="329" priority="2" operator="equal">
      <formula>"High"</formula>
    </cfRule>
  </conditionalFormatting>
  <conditionalFormatting sqref="G7:G300">
    <cfRule type="cellIs" dxfId="328" priority="3" operator="equal">
      <formula>"Medium"</formula>
    </cfRule>
  </conditionalFormatting>
  <conditionalFormatting sqref="G7:G300">
    <cfRule type="cellIs" dxfId="327" priority="4" operator="equal">
      <formula>"Low"</formula>
    </cfRule>
  </conditionalFormatting>
  <conditionalFormatting sqref="H7:H300">
    <cfRule type="cellIs" dxfId="326" priority="5" operator="equal">
      <formula>"Blocked"</formula>
    </cfRule>
  </conditionalFormatting>
  <conditionalFormatting sqref="H7:H300">
    <cfRule type="cellIs" dxfId="325" priority="6" operator="equal">
      <formula>"In Progress"</formula>
    </cfRule>
  </conditionalFormatting>
  <dataValidations count="3">
    <dataValidation type="list" allowBlank="1" showInputMessage="1" showErrorMessage="1" sqref="E7:E300" xr:uid="{0E67F25C-84C5-463B-B88F-F994BDC72E78}">
      <formula1>$Z$1:$Z$7</formula1>
    </dataValidation>
    <dataValidation type="list" allowBlank="1" showInputMessage="1" showErrorMessage="1" sqref="G7:G300" xr:uid="{BA3D1616-B76E-44E8-87C2-102783A2169B}">
      <formula1>$Z$8:$Z$11</formula1>
    </dataValidation>
    <dataValidation type="list" allowBlank="1" showInputMessage="1" showErrorMessage="1" sqref="H7:H300" xr:uid="{7AA672C2-781D-4278-9D49-B3EA61ADB545}">
      <formula1>$Z$12:$Z$15</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AD474-A5B7-43A2-863D-721E4C99DDBB}">
  <sheetPr>
    <tabColor rgb="FF548235"/>
  </sheetPr>
  <dimension ref="A1:N7"/>
  <sheetViews>
    <sheetView workbookViewId="0"/>
  </sheetViews>
  <sheetFormatPr defaultRowHeight="15"/>
  <cols>
    <col min="1" max="1" width="64.7109375" customWidth="1"/>
    <col min="2" max="2" width="18.140625" customWidth="1"/>
    <col min="3" max="3" width="26.7109375" customWidth="1"/>
    <col min="4" max="4" width="17.140625" customWidth="1"/>
    <col min="5" max="5" width="21" customWidth="1"/>
    <col min="6" max="6" width="61" customWidth="1"/>
    <col min="7" max="7" width="17.140625" customWidth="1"/>
    <col min="8" max="8" width="19" customWidth="1"/>
    <col min="9" max="10" width="18.140625" customWidth="1"/>
    <col min="11" max="11" width="34.28515625" customWidth="1"/>
    <col min="12" max="12" width="22.85546875" customWidth="1"/>
    <col min="13" max="13" width="21" customWidth="1"/>
    <col min="14" max="14" width="19" customWidth="1"/>
  </cols>
  <sheetData>
    <row r="1" spans="1:14" ht="21">
      <c r="A1" s="187" t="s">
        <v>1167</v>
      </c>
      <c r="B1" s="76"/>
      <c r="C1" s="76"/>
      <c r="D1" s="76"/>
      <c r="E1" s="76"/>
      <c r="F1" s="76"/>
      <c r="G1" s="76"/>
      <c r="H1" s="76"/>
      <c r="I1" s="76"/>
      <c r="J1" s="76"/>
      <c r="K1" s="76"/>
      <c r="L1" s="76"/>
      <c r="M1" s="76"/>
      <c r="N1" s="76"/>
    </row>
    <row r="2" spans="1:14">
      <c r="A2" s="207" t="s">
        <v>1168</v>
      </c>
      <c r="B2" s="218"/>
      <c r="C2" s="218"/>
      <c r="D2" s="218"/>
      <c r="E2" s="218"/>
      <c r="F2" s="218"/>
      <c r="G2" s="218"/>
      <c r="H2" s="218"/>
      <c r="I2" s="218"/>
      <c r="J2" s="218"/>
      <c r="K2" s="218"/>
      <c r="L2" s="218"/>
      <c r="M2" s="218"/>
      <c r="N2" s="218"/>
    </row>
    <row r="4" spans="1:14">
      <c r="A4" t="s">
        <v>1169</v>
      </c>
      <c r="B4" s="2">
        <f>COUNTA(TableLeadTasksDone[Task ID])</f>
        <v>1</v>
      </c>
    </row>
    <row r="6" spans="1:14">
      <c r="A6" s="5" t="s">
        <v>1150</v>
      </c>
      <c r="B6" s="5" t="s">
        <v>1042</v>
      </c>
      <c r="C6" s="5" t="s">
        <v>817</v>
      </c>
      <c r="D6" s="5" t="s">
        <v>1041</v>
      </c>
      <c r="E6" s="5" t="s">
        <v>1151</v>
      </c>
      <c r="F6" s="5" t="s">
        <v>1152</v>
      </c>
      <c r="G6" s="5" t="s">
        <v>1047</v>
      </c>
      <c r="H6" s="5" t="s">
        <v>279</v>
      </c>
      <c r="I6" s="5" t="s">
        <v>28</v>
      </c>
      <c r="J6" s="5" t="s">
        <v>1153</v>
      </c>
      <c r="K6" s="5" t="s">
        <v>305</v>
      </c>
      <c r="L6" s="5" t="s">
        <v>1154</v>
      </c>
      <c r="M6" s="5" t="s">
        <v>1170</v>
      </c>
      <c r="N6" s="5" t="s">
        <v>1171</v>
      </c>
    </row>
    <row r="7" spans="1:14">
      <c r="A7" s="3" t="s">
        <v>1172</v>
      </c>
      <c r="B7" s="4">
        <v>46058</v>
      </c>
      <c r="C7" s="3" t="s">
        <v>1140</v>
      </c>
      <c r="D7" s="3" t="s">
        <v>1139</v>
      </c>
      <c r="E7" s="3" t="s">
        <v>1033</v>
      </c>
      <c r="F7" s="3" t="s">
        <v>1162</v>
      </c>
      <c r="G7" s="3" t="s">
        <v>344</v>
      </c>
      <c r="H7" s="3" t="s">
        <v>228</v>
      </c>
      <c r="I7" s="3" t="s">
        <v>33</v>
      </c>
      <c r="J7" s="4">
        <v>46059</v>
      </c>
      <c r="K7" s="3" t="s">
        <v>1173</v>
      </c>
      <c r="L7" s="3"/>
      <c r="M7" s="4">
        <v>46059</v>
      </c>
      <c r="N7" s="3" t="s">
        <v>33</v>
      </c>
    </row>
  </sheetData>
  <mergeCells count="2">
    <mergeCell ref="A1:N1"/>
    <mergeCell ref="A2:N2"/>
  </mergeCell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C3C11-A726-4A6F-9268-0850F445EA9F}">
  <sheetPr>
    <tabColor rgb="FF3A414F"/>
  </sheetPr>
  <dimension ref="A1:H34"/>
  <sheetViews>
    <sheetView workbookViewId="0">
      <selection activeCell="J25" sqref="J25"/>
    </sheetView>
  </sheetViews>
  <sheetFormatPr defaultRowHeight="15"/>
  <cols>
    <col min="1" max="1" width="76.140625" customWidth="1"/>
    <col min="2" max="2" width="24.7109375" customWidth="1"/>
    <col min="3" max="3" width="76.140625" customWidth="1"/>
    <col min="4" max="4" width="22.85546875" customWidth="1"/>
    <col min="5" max="5" width="21" customWidth="1"/>
    <col min="6" max="6" width="64.7109375" customWidth="1"/>
  </cols>
  <sheetData>
    <row r="1" spans="1:8" ht="21">
      <c r="A1" s="186" t="s">
        <v>1174</v>
      </c>
      <c r="B1" s="75"/>
      <c r="C1" s="75"/>
      <c r="D1" s="75"/>
      <c r="E1" s="75"/>
      <c r="F1" s="75"/>
    </row>
    <row r="2" spans="1:8">
      <c r="A2" s="207" t="s">
        <v>1175</v>
      </c>
      <c r="B2" s="218"/>
      <c r="C2" s="218"/>
      <c r="D2" s="218"/>
      <c r="E2" s="218"/>
      <c r="F2" s="218"/>
    </row>
    <row r="4" spans="1:8">
      <c r="A4" s="35" t="s">
        <v>1176</v>
      </c>
      <c r="B4" s="35" t="s">
        <v>1151</v>
      </c>
      <c r="C4" s="35" t="s">
        <v>1152</v>
      </c>
      <c r="D4" s="35" t="s">
        <v>1177</v>
      </c>
      <c r="E4" s="35" t="s">
        <v>1178</v>
      </c>
      <c r="F4" s="35" t="s">
        <v>1179</v>
      </c>
    </row>
    <row r="5" spans="1:8">
      <c r="A5" s="35" t="s">
        <v>1180</v>
      </c>
      <c r="B5" s="35" t="s">
        <v>1031</v>
      </c>
      <c r="C5" s="181" t="s">
        <v>1181</v>
      </c>
      <c r="D5" s="181" t="s">
        <v>344</v>
      </c>
      <c r="E5" s="181" t="s">
        <v>33</v>
      </c>
      <c r="F5" s="181" t="s">
        <v>1182</v>
      </c>
      <c r="G5" s="35"/>
      <c r="H5" s="35"/>
    </row>
    <row r="6" spans="1:8">
      <c r="A6" t="s">
        <v>1183</v>
      </c>
      <c r="B6" t="s">
        <v>1031</v>
      </c>
      <c r="C6" s="6" t="s">
        <v>1184</v>
      </c>
      <c r="D6" s="6" t="s">
        <v>1067</v>
      </c>
      <c r="E6" s="6" t="s">
        <v>33</v>
      </c>
      <c r="F6" s="6" t="s">
        <v>1185</v>
      </c>
    </row>
    <row r="7" spans="1:8">
      <c r="A7" t="s">
        <v>1186</v>
      </c>
      <c r="B7" t="s">
        <v>1031</v>
      </c>
      <c r="C7" s="6" t="s">
        <v>1187</v>
      </c>
      <c r="D7" s="6" t="s">
        <v>1067</v>
      </c>
      <c r="E7" s="6" t="s">
        <v>33</v>
      </c>
      <c r="F7" s="6" t="s">
        <v>1188</v>
      </c>
    </row>
    <row r="8" spans="1:8">
      <c r="A8" t="s">
        <v>1189</v>
      </c>
      <c r="B8" t="s">
        <v>1031</v>
      </c>
      <c r="C8" s="6" t="s">
        <v>1190</v>
      </c>
      <c r="D8" s="6" t="s">
        <v>1075</v>
      </c>
      <c r="E8" s="6" t="s">
        <v>33</v>
      </c>
      <c r="F8" s="6" t="s">
        <v>1191</v>
      </c>
    </row>
    <row r="9" spans="1:8">
      <c r="A9" t="s">
        <v>1192</v>
      </c>
      <c r="B9" t="s">
        <v>1033</v>
      </c>
      <c r="C9" s="6" t="s">
        <v>1162</v>
      </c>
      <c r="D9" s="6" t="s">
        <v>344</v>
      </c>
      <c r="E9" s="6" t="s">
        <v>33</v>
      </c>
      <c r="F9" s="6" t="s">
        <v>1193</v>
      </c>
    </row>
    <row r="10" spans="1:8">
      <c r="A10" t="s">
        <v>1194</v>
      </c>
      <c r="B10" t="s">
        <v>1033</v>
      </c>
      <c r="C10" s="6" t="s">
        <v>1195</v>
      </c>
      <c r="D10" s="6" t="s">
        <v>1067</v>
      </c>
      <c r="E10" s="6" t="s">
        <v>33</v>
      </c>
      <c r="F10" s="6" t="s">
        <v>1196</v>
      </c>
    </row>
    <row r="11" spans="1:8">
      <c r="A11" t="s">
        <v>1197</v>
      </c>
      <c r="B11" t="s">
        <v>1033</v>
      </c>
      <c r="C11" s="6" t="s">
        <v>1198</v>
      </c>
      <c r="D11" s="6" t="s">
        <v>1067</v>
      </c>
      <c r="E11" s="6" t="s">
        <v>33</v>
      </c>
      <c r="F11" s="6" t="s">
        <v>1199</v>
      </c>
    </row>
    <row r="12" spans="1:8">
      <c r="A12" t="s">
        <v>1200</v>
      </c>
      <c r="B12" t="s">
        <v>1033</v>
      </c>
      <c r="C12" s="6" t="s">
        <v>1201</v>
      </c>
      <c r="D12" s="6" t="s">
        <v>1067</v>
      </c>
      <c r="E12" s="6" t="s">
        <v>33</v>
      </c>
      <c r="F12" s="6" t="s">
        <v>1202</v>
      </c>
    </row>
    <row r="13" spans="1:8">
      <c r="A13" t="s">
        <v>1203</v>
      </c>
      <c r="B13" t="s">
        <v>1033</v>
      </c>
      <c r="C13" s="6" t="s">
        <v>1204</v>
      </c>
      <c r="D13" s="6" t="s">
        <v>344</v>
      </c>
      <c r="E13" s="6" t="s">
        <v>33</v>
      </c>
      <c r="F13" s="6" t="s">
        <v>1205</v>
      </c>
    </row>
    <row r="14" spans="1:8">
      <c r="A14" t="s">
        <v>1206</v>
      </c>
      <c r="B14" t="s">
        <v>1033</v>
      </c>
      <c r="C14" s="6" t="s">
        <v>1207</v>
      </c>
      <c r="D14" s="6" t="s">
        <v>1067</v>
      </c>
      <c r="E14" s="6" t="s">
        <v>33</v>
      </c>
      <c r="F14" s="6" t="s">
        <v>1208</v>
      </c>
    </row>
    <row r="15" spans="1:8">
      <c r="A15" t="s">
        <v>1209</v>
      </c>
      <c r="B15" t="s">
        <v>1034</v>
      </c>
      <c r="C15" s="6" t="s">
        <v>1210</v>
      </c>
      <c r="D15" s="6" t="s">
        <v>1067</v>
      </c>
      <c r="E15" s="6" t="s">
        <v>33</v>
      </c>
      <c r="F15" s="6" t="s">
        <v>1211</v>
      </c>
    </row>
    <row r="16" spans="1:8">
      <c r="A16" t="s">
        <v>1212</v>
      </c>
      <c r="B16" t="s">
        <v>1034</v>
      </c>
      <c r="C16" s="6" t="s">
        <v>1213</v>
      </c>
      <c r="D16" s="6" t="s">
        <v>344</v>
      </c>
      <c r="E16" s="6" t="s">
        <v>33</v>
      </c>
      <c r="F16" s="6" t="s">
        <v>1214</v>
      </c>
    </row>
    <row r="17" spans="1:6">
      <c r="A17" t="s">
        <v>1215</v>
      </c>
      <c r="B17" t="s">
        <v>1034</v>
      </c>
      <c r="C17" s="6" t="s">
        <v>1216</v>
      </c>
      <c r="D17" s="6" t="s">
        <v>344</v>
      </c>
      <c r="E17" s="6" t="s">
        <v>33</v>
      </c>
      <c r="F17" s="6" t="s">
        <v>1217</v>
      </c>
    </row>
    <row r="18" spans="1:6">
      <c r="A18" t="s">
        <v>1218</v>
      </c>
      <c r="B18" t="s">
        <v>1034</v>
      </c>
      <c r="C18" s="6" t="s">
        <v>1219</v>
      </c>
      <c r="D18" s="6" t="s">
        <v>344</v>
      </c>
      <c r="E18" s="6" t="s">
        <v>33</v>
      </c>
      <c r="F18" s="6" t="s">
        <v>1220</v>
      </c>
    </row>
    <row r="19" spans="1:6">
      <c r="A19" t="s">
        <v>1221</v>
      </c>
      <c r="B19" t="s">
        <v>1034</v>
      </c>
      <c r="C19" s="6" t="s">
        <v>1222</v>
      </c>
      <c r="D19" s="6" t="s">
        <v>1075</v>
      </c>
      <c r="E19" s="6" t="s">
        <v>33</v>
      </c>
      <c r="F19" s="6" t="s">
        <v>1223</v>
      </c>
    </row>
    <row r="20" spans="1:6">
      <c r="A20" t="s">
        <v>1224</v>
      </c>
      <c r="B20" t="s">
        <v>1036</v>
      </c>
      <c r="C20" s="6" t="s">
        <v>1156</v>
      </c>
      <c r="D20" s="6" t="s">
        <v>344</v>
      </c>
      <c r="E20" s="6" t="s">
        <v>33</v>
      </c>
      <c r="F20" s="6" t="s">
        <v>1225</v>
      </c>
    </row>
    <row r="21" spans="1:6">
      <c r="A21" t="s">
        <v>1226</v>
      </c>
      <c r="B21" t="s">
        <v>1036</v>
      </c>
      <c r="C21" s="6" t="s">
        <v>1227</v>
      </c>
      <c r="D21" s="6" t="s">
        <v>1067</v>
      </c>
      <c r="E21" s="6" t="s">
        <v>33</v>
      </c>
      <c r="F21" s="6" t="s">
        <v>1228</v>
      </c>
    </row>
    <row r="22" spans="1:6">
      <c r="A22" t="s">
        <v>1229</v>
      </c>
      <c r="B22" t="s">
        <v>1036</v>
      </c>
      <c r="C22" s="6" t="s">
        <v>1230</v>
      </c>
      <c r="D22" s="6" t="s">
        <v>344</v>
      </c>
      <c r="E22" s="6" t="s">
        <v>38</v>
      </c>
      <c r="F22" s="6" t="s">
        <v>1231</v>
      </c>
    </row>
    <row r="23" spans="1:6">
      <c r="A23" t="s">
        <v>1232</v>
      </c>
      <c r="B23" t="s">
        <v>1036</v>
      </c>
      <c r="C23" s="6" t="s">
        <v>1233</v>
      </c>
      <c r="D23" s="6" t="s">
        <v>1075</v>
      </c>
      <c r="E23" s="6" t="s">
        <v>33</v>
      </c>
      <c r="F23" s="6" t="s">
        <v>1234</v>
      </c>
    </row>
    <row r="24" spans="1:6">
      <c r="A24" t="s">
        <v>1235</v>
      </c>
      <c r="B24" t="s">
        <v>1040</v>
      </c>
      <c r="C24" s="6" t="s">
        <v>1236</v>
      </c>
      <c r="D24" s="6" t="s">
        <v>1067</v>
      </c>
      <c r="E24" s="6" t="s">
        <v>33</v>
      </c>
      <c r="F24" s="6" t="s">
        <v>1237</v>
      </c>
    </row>
    <row r="25" spans="1:6">
      <c r="A25" t="s">
        <v>1238</v>
      </c>
      <c r="B25" t="s">
        <v>1040</v>
      </c>
      <c r="C25" s="6" t="s">
        <v>1239</v>
      </c>
      <c r="D25" s="6" t="s">
        <v>1067</v>
      </c>
      <c r="E25" s="6" t="s">
        <v>33</v>
      </c>
      <c r="F25" s="6" t="s">
        <v>1240</v>
      </c>
    </row>
    <row r="26" spans="1:6">
      <c r="A26" t="s">
        <v>1241</v>
      </c>
      <c r="B26" t="s">
        <v>1040</v>
      </c>
      <c r="C26" s="6" t="s">
        <v>1242</v>
      </c>
      <c r="D26" s="6" t="s">
        <v>1067</v>
      </c>
      <c r="E26" s="6" t="s">
        <v>38</v>
      </c>
      <c r="F26" s="6" t="s">
        <v>1243</v>
      </c>
    </row>
    <row r="27" spans="1:6">
      <c r="A27" t="s">
        <v>1244</v>
      </c>
      <c r="B27" t="s">
        <v>1040</v>
      </c>
      <c r="C27" s="6" t="s">
        <v>1245</v>
      </c>
      <c r="D27" s="6" t="s">
        <v>344</v>
      </c>
      <c r="E27" s="6" t="s">
        <v>38</v>
      </c>
      <c r="F27" s="6" t="s">
        <v>1246</v>
      </c>
    </row>
    <row r="28" spans="1:6">
      <c r="A28" t="s">
        <v>1247</v>
      </c>
      <c r="B28" t="s">
        <v>296</v>
      </c>
      <c r="C28" s="6" t="s">
        <v>1248</v>
      </c>
      <c r="D28" s="6" t="s">
        <v>344</v>
      </c>
      <c r="E28" s="6" t="s">
        <v>38</v>
      </c>
      <c r="F28" s="6" t="s">
        <v>1249</v>
      </c>
    </row>
    <row r="29" spans="1:6">
      <c r="A29" t="s">
        <v>1250</v>
      </c>
      <c r="B29" t="s">
        <v>296</v>
      </c>
      <c r="C29" s="6" t="s">
        <v>1165</v>
      </c>
      <c r="D29" s="6" t="s">
        <v>344</v>
      </c>
      <c r="E29" s="6" t="s">
        <v>38</v>
      </c>
      <c r="F29" s="6" t="s">
        <v>1251</v>
      </c>
    </row>
    <row r="30" spans="1:6">
      <c r="A30" t="s">
        <v>1252</v>
      </c>
      <c r="B30" t="s">
        <v>296</v>
      </c>
      <c r="C30" s="6" t="s">
        <v>1253</v>
      </c>
      <c r="D30" s="6" t="s">
        <v>1067</v>
      </c>
      <c r="E30" s="6" t="s">
        <v>33</v>
      </c>
      <c r="F30" s="6" t="s">
        <v>1254</v>
      </c>
    </row>
    <row r="31" spans="1:6">
      <c r="A31" t="s">
        <v>1255</v>
      </c>
      <c r="B31" t="s">
        <v>1158</v>
      </c>
      <c r="C31" s="6" t="s">
        <v>1256</v>
      </c>
      <c r="D31" s="6" t="s">
        <v>1075</v>
      </c>
      <c r="E31" s="6" t="s">
        <v>38</v>
      </c>
      <c r="F31" s="6" t="s">
        <v>1257</v>
      </c>
    </row>
    <row r="32" spans="1:6">
      <c r="A32" t="s">
        <v>1258</v>
      </c>
      <c r="B32" t="s">
        <v>1158</v>
      </c>
      <c r="C32" s="6" t="s">
        <v>1259</v>
      </c>
      <c r="D32" s="6" t="s">
        <v>1089</v>
      </c>
      <c r="E32" s="6" t="s">
        <v>33</v>
      </c>
      <c r="F32" s="6" t="s">
        <v>1260</v>
      </c>
    </row>
    <row r="33" spans="1:6">
      <c r="A33" t="s">
        <v>1261</v>
      </c>
      <c r="B33" t="s">
        <v>1158</v>
      </c>
      <c r="C33" s="6" t="s">
        <v>1262</v>
      </c>
      <c r="D33" s="6" t="s">
        <v>1075</v>
      </c>
      <c r="E33" s="6" t="s">
        <v>33</v>
      </c>
      <c r="F33" s="6" t="s">
        <v>1263</v>
      </c>
    </row>
    <row r="34" spans="1:6">
      <c r="A34" t="s">
        <v>1264</v>
      </c>
      <c r="B34" t="s">
        <v>1158</v>
      </c>
      <c r="C34" s="6" t="s">
        <v>1265</v>
      </c>
      <c r="D34" s="6" t="s">
        <v>1067</v>
      </c>
      <c r="E34" s="6" t="s">
        <v>33</v>
      </c>
      <c r="F34" s="6" t="s">
        <v>1266</v>
      </c>
    </row>
  </sheetData>
  <mergeCells count="2">
    <mergeCell ref="A1:F1"/>
    <mergeCell ref="A2:F2"/>
  </mergeCell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70325-6EDE-40A1-AB41-FF19DD5EE624}">
  <sheetPr>
    <tabColor rgb="FF7C7871"/>
  </sheetPr>
  <dimension ref="A1:B46"/>
  <sheetViews>
    <sheetView workbookViewId="0"/>
  </sheetViews>
  <sheetFormatPr defaultRowHeight="15"/>
  <cols>
    <col min="1" max="1" width="80" customWidth="1"/>
    <col min="2" max="2" width="53.28515625" customWidth="1"/>
  </cols>
  <sheetData>
    <row r="1" spans="1:2" ht="21">
      <c r="A1" s="188" t="s">
        <v>1267</v>
      </c>
      <c r="B1" s="75"/>
    </row>
    <row r="2" spans="1:2">
      <c r="A2" s="107"/>
    </row>
    <row r="3" spans="1:2" ht="15.75">
      <c r="A3" s="10" t="s">
        <v>496</v>
      </c>
    </row>
    <row r="4" spans="1:2">
      <c r="A4" s="6" t="s">
        <v>1268</v>
      </c>
    </row>
    <row r="5" spans="1:2">
      <c r="A5" s="6"/>
    </row>
    <row r="6" spans="1:2" ht="16.5">
      <c r="A6" s="11" t="s">
        <v>1269</v>
      </c>
    </row>
    <row r="7" spans="1:2">
      <c r="A7" s="6" t="s">
        <v>1270</v>
      </c>
    </row>
    <row r="8" spans="1:2">
      <c r="A8" s="6" t="s">
        <v>1271</v>
      </c>
    </row>
    <row r="9" spans="1:2">
      <c r="A9" s="6" t="s">
        <v>1272</v>
      </c>
    </row>
    <row r="10" spans="1:2">
      <c r="A10" s="6" t="s">
        <v>1273</v>
      </c>
    </row>
    <row r="11" spans="1:2">
      <c r="A11" s="6" t="s">
        <v>1274</v>
      </c>
    </row>
    <row r="12" spans="1:2">
      <c r="A12" s="6" t="s">
        <v>1275</v>
      </c>
    </row>
    <row r="13" spans="1:2">
      <c r="A13" s="6"/>
    </row>
    <row r="14" spans="1:2" ht="16.5">
      <c r="A14" s="11" t="s">
        <v>1276</v>
      </c>
    </row>
    <row r="15" spans="1:2">
      <c r="A15" s="6" t="s">
        <v>1277</v>
      </c>
    </row>
    <row r="16" spans="1:2">
      <c r="A16" s="6" t="s">
        <v>1278</v>
      </c>
    </row>
    <row r="17" spans="1:1">
      <c r="A17" s="6" t="s">
        <v>1279</v>
      </c>
    </row>
    <row r="18" spans="1:1">
      <c r="A18" s="6" t="s">
        <v>1280</v>
      </c>
    </row>
    <row r="19" spans="1:1">
      <c r="A19" s="6" t="s">
        <v>1281</v>
      </c>
    </row>
    <row r="20" spans="1:1">
      <c r="A20" s="6" t="s">
        <v>1282</v>
      </c>
    </row>
    <row r="21" spans="1:1">
      <c r="A21" s="6"/>
    </row>
    <row r="22" spans="1:1" ht="16.5">
      <c r="A22" s="11" t="s">
        <v>535</v>
      </c>
    </row>
    <row r="23" spans="1:1">
      <c r="A23" s="6" t="s">
        <v>1283</v>
      </c>
    </row>
    <row r="24" spans="1:1">
      <c r="A24" s="6" t="s">
        <v>1284</v>
      </c>
    </row>
    <row r="25" spans="1:1">
      <c r="A25" s="6" t="s">
        <v>1285</v>
      </c>
    </row>
    <row r="26" spans="1:1">
      <c r="A26" s="6" t="s">
        <v>1286</v>
      </c>
    </row>
    <row r="27" spans="1:1">
      <c r="A27" s="6" t="s">
        <v>1287</v>
      </c>
    </row>
    <row r="28" spans="1:1">
      <c r="A28" s="6" t="s">
        <v>1288</v>
      </c>
    </row>
    <row r="29" spans="1:1">
      <c r="A29" s="6"/>
    </row>
    <row r="30" spans="1:1" ht="16.5">
      <c r="A30" s="11" t="s">
        <v>1289</v>
      </c>
    </row>
    <row r="31" spans="1:1">
      <c r="A31" s="6" t="s">
        <v>1290</v>
      </c>
    </row>
    <row r="32" spans="1:1">
      <c r="A32" s="6"/>
    </row>
    <row r="33" spans="1:2" ht="16.5">
      <c r="A33" s="11" t="s">
        <v>1291</v>
      </c>
    </row>
    <row r="34" spans="1:2">
      <c r="A34" s="6" t="s">
        <v>1292</v>
      </c>
    </row>
    <row r="35" spans="1:2">
      <c r="A35" s="6" t="s">
        <v>1293</v>
      </c>
    </row>
    <row r="36" spans="1:2">
      <c r="A36" s="6" t="s">
        <v>1294</v>
      </c>
    </row>
    <row r="37" spans="1:2">
      <c r="A37" s="6" t="s">
        <v>1295</v>
      </c>
    </row>
    <row r="38" spans="1:2">
      <c r="A38" s="6" t="s">
        <v>1296</v>
      </c>
    </row>
    <row r="39" spans="1:2">
      <c r="A39" s="6"/>
    </row>
    <row r="40" spans="1:2" ht="16.5">
      <c r="A40" s="11" t="s">
        <v>1297</v>
      </c>
    </row>
    <row r="41" spans="1:2">
      <c r="A41" s="6" t="s">
        <v>1298</v>
      </c>
    </row>
    <row r="42" spans="1:2">
      <c r="A42" s="6" t="s">
        <v>1299</v>
      </c>
    </row>
    <row r="43" spans="1:2">
      <c r="A43" s="6" t="s">
        <v>1300</v>
      </c>
    </row>
    <row r="44" spans="1:2">
      <c r="A44" s="6" t="s">
        <v>1301</v>
      </c>
    </row>
    <row r="46" spans="1:2">
      <c r="A46" s="2" t="s">
        <v>1302</v>
      </c>
      <c r="B46" t="s">
        <v>1303</v>
      </c>
    </row>
  </sheetData>
  <mergeCells count="1">
    <mergeCell ref="A1:B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F957C"/>
  </sheetPr>
  <dimension ref="A1:AA20"/>
  <sheetViews>
    <sheetView workbookViewId="0">
      <selection activeCell="B1" sqref="B1"/>
    </sheetView>
  </sheetViews>
  <sheetFormatPr defaultRowHeight="15"/>
  <cols>
    <col min="1" max="1" width="61" customWidth="1"/>
    <col min="2" max="2" width="18.140625" customWidth="1"/>
    <col min="3" max="3" width="22.85546875" customWidth="1"/>
    <col min="4" max="4" width="20" customWidth="1"/>
    <col min="5" max="5" width="68.5703125" customWidth="1"/>
    <col min="6" max="6" width="18.140625" customWidth="1"/>
    <col min="7" max="7" width="24.7109375" customWidth="1"/>
    <col min="8" max="10" width="18.140625" customWidth="1"/>
    <col min="11" max="11" width="53.28515625" customWidth="1"/>
    <col min="12" max="12" width="28.5703125" customWidth="1"/>
    <col min="26" max="27" width="0" hidden="1" customWidth="1"/>
  </cols>
  <sheetData>
    <row r="1" spans="1:27" ht="21">
      <c r="A1" s="189" t="s">
        <v>1304</v>
      </c>
      <c r="B1" s="78"/>
      <c r="C1" s="78"/>
      <c r="D1" s="78"/>
      <c r="E1" s="78"/>
      <c r="F1" s="78"/>
      <c r="G1" s="78"/>
      <c r="H1" s="78"/>
      <c r="I1" s="78"/>
      <c r="J1" s="78"/>
      <c r="K1" s="78"/>
      <c r="L1" s="78"/>
      <c r="Z1" t="s">
        <v>344</v>
      </c>
      <c r="AA1" t="s">
        <v>1097</v>
      </c>
    </row>
    <row r="2" spans="1:27">
      <c r="A2" s="190" t="s">
        <v>1305</v>
      </c>
      <c r="B2" s="79"/>
      <c r="C2" s="79"/>
      <c r="D2" s="79"/>
      <c r="E2" s="79"/>
      <c r="F2" s="79"/>
      <c r="G2" s="79"/>
      <c r="H2" s="79"/>
      <c r="I2" s="79"/>
      <c r="J2" s="79"/>
      <c r="K2" s="79"/>
      <c r="L2" s="79"/>
      <c r="Z2" t="s">
        <v>1067</v>
      </c>
      <c r="AA2" t="s">
        <v>1064</v>
      </c>
    </row>
    <row r="3" spans="1:27">
      <c r="Z3" t="s">
        <v>1075</v>
      </c>
      <c r="AA3" t="s">
        <v>1076</v>
      </c>
    </row>
    <row r="4" spans="1:27" ht="15.75">
      <c r="A4" s="1" t="s">
        <v>1035</v>
      </c>
      <c r="Z4" t="s">
        <v>1089</v>
      </c>
      <c r="AA4" t="s">
        <v>1111</v>
      </c>
    </row>
    <row r="5" spans="1:27">
      <c r="A5" t="s">
        <v>1306</v>
      </c>
      <c r="B5" s="2">
        <f>COUNTA(TableActive[ID])</f>
        <v>6</v>
      </c>
      <c r="C5" t="s">
        <v>1149</v>
      </c>
      <c r="D5" s="2">
        <f>COUNTIFS(TableActive[Priority],"Critical")+COUNTIFS(TableActive[Priority],"High")</f>
        <v>6</v>
      </c>
      <c r="E5" t="s">
        <v>1116</v>
      </c>
      <c r="F5" s="2">
        <f>COUNTIF(TableActive[Status],"Blocked")</f>
        <v>1</v>
      </c>
      <c r="G5" t="s">
        <v>1307</v>
      </c>
      <c r="H5" s="2" cm="1">
        <f t="array" ref="H5">IFERROR(SUMPRODUCT((TableActive[Entity]&lt;&gt;"")/COUNTIFS(TableActive[Entity],TableActive[Entity]&amp;"")),0)</f>
        <v>1.9999999999999998</v>
      </c>
      <c r="Z5" t="s">
        <v>1114</v>
      </c>
      <c r="AA5" t="s">
        <v>1112</v>
      </c>
    </row>
    <row r="6" spans="1:27">
      <c r="A6" s="36"/>
      <c r="B6" s="36"/>
      <c r="C6" s="36"/>
      <c r="D6" s="36"/>
      <c r="E6" s="36"/>
      <c r="F6" s="36"/>
      <c r="G6" s="36"/>
      <c r="H6" s="36"/>
      <c r="I6" s="36"/>
      <c r="J6" s="36"/>
      <c r="K6" s="36"/>
      <c r="L6" s="36"/>
      <c r="M6" s="36"/>
      <c r="N6" s="36"/>
      <c r="Z6" t="s">
        <v>1115</v>
      </c>
      <c r="AA6" t="s">
        <v>1308</v>
      </c>
    </row>
    <row r="7" spans="1:27">
      <c r="A7" s="36" t="s">
        <v>661</v>
      </c>
      <c r="B7" s="36" t="s">
        <v>1042</v>
      </c>
      <c r="C7" s="36" t="s">
        <v>811</v>
      </c>
      <c r="D7" s="36" t="s">
        <v>1309</v>
      </c>
      <c r="E7" s="36" t="s">
        <v>1310</v>
      </c>
      <c r="F7" s="36" t="s">
        <v>1047</v>
      </c>
      <c r="G7" s="36" t="s">
        <v>279</v>
      </c>
      <c r="H7" s="36" t="s">
        <v>28</v>
      </c>
      <c r="I7" s="36" t="s">
        <v>1153</v>
      </c>
      <c r="J7" s="36" t="s">
        <v>1311</v>
      </c>
      <c r="K7" s="36" t="s">
        <v>305</v>
      </c>
      <c r="L7" s="36" t="s">
        <v>1154</v>
      </c>
      <c r="Z7" t="s">
        <v>1116</v>
      </c>
      <c r="AA7" t="s">
        <v>1113</v>
      </c>
    </row>
    <row r="8" spans="1:27">
      <c r="A8" s="3" t="s">
        <v>1312</v>
      </c>
      <c r="B8" s="4">
        <v>46101</v>
      </c>
      <c r="C8" s="3" t="s">
        <v>1057</v>
      </c>
      <c r="D8" s="3" t="s">
        <v>1313</v>
      </c>
      <c r="E8" s="3" t="s">
        <v>1314</v>
      </c>
      <c r="F8" s="3" t="s">
        <v>344</v>
      </c>
      <c r="G8" s="3" t="s">
        <v>1115</v>
      </c>
      <c r="H8" s="3" t="s">
        <v>38</v>
      </c>
      <c r="I8" s="4">
        <v>46109</v>
      </c>
      <c r="J8" s="3" t="s">
        <v>1064</v>
      </c>
      <c r="K8" s="3" t="s">
        <v>1315</v>
      </c>
      <c r="L8" s="3"/>
      <c r="Z8" t="s">
        <v>1117</v>
      </c>
      <c r="AA8" t="s">
        <v>1109</v>
      </c>
    </row>
    <row r="9" spans="1:27">
      <c r="A9" s="3" t="s">
        <v>1316</v>
      </c>
      <c r="B9" s="4">
        <v>46101</v>
      </c>
      <c r="C9" s="3" t="s">
        <v>1057</v>
      </c>
      <c r="D9" s="3" t="s">
        <v>1317</v>
      </c>
      <c r="E9" s="3" t="s">
        <v>1318</v>
      </c>
      <c r="F9" s="3" t="s">
        <v>1067</v>
      </c>
      <c r="G9" s="3" t="s">
        <v>1114</v>
      </c>
      <c r="H9" s="3" t="s">
        <v>33</v>
      </c>
      <c r="I9" s="4">
        <v>46116</v>
      </c>
      <c r="J9" s="3" t="s">
        <v>1064</v>
      </c>
      <c r="K9" s="3"/>
      <c r="L9" s="3"/>
      <c r="Z9" t="s">
        <v>228</v>
      </c>
    </row>
    <row r="10" spans="1:27">
      <c r="A10" s="3" t="s">
        <v>1319</v>
      </c>
      <c r="B10" s="4">
        <v>46101</v>
      </c>
      <c r="C10" s="3" t="s">
        <v>1057</v>
      </c>
      <c r="D10" s="3" t="s">
        <v>1320</v>
      </c>
      <c r="E10" s="3" t="s">
        <v>1321</v>
      </c>
      <c r="F10" s="3" t="s">
        <v>1067</v>
      </c>
      <c r="G10" s="3" t="s">
        <v>1114</v>
      </c>
      <c r="H10" s="3" t="s">
        <v>33</v>
      </c>
      <c r="I10" s="4">
        <v>46114</v>
      </c>
      <c r="J10" s="3" t="s">
        <v>1064</v>
      </c>
      <c r="K10" s="3"/>
      <c r="L10" s="3"/>
      <c r="Z10" t="s">
        <v>1313</v>
      </c>
    </row>
    <row r="11" spans="1:27">
      <c r="A11" s="3" t="s">
        <v>1322</v>
      </c>
      <c r="B11" s="4">
        <v>46099</v>
      </c>
      <c r="C11" s="3" t="s">
        <v>1069</v>
      </c>
      <c r="D11" s="3" t="s">
        <v>1323</v>
      </c>
      <c r="E11" s="3" t="s">
        <v>1324</v>
      </c>
      <c r="F11" s="3" t="s">
        <v>344</v>
      </c>
      <c r="G11" s="3" t="s">
        <v>1116</v>
      </c>
      <c r="H11" s="3" t="s">
        <v>1325</v>
      </c>
      <c r="I11" s="4">
        <v>46106</v>
      </c>
      <c r="J11" s="3" t="s">
        <v>1076</v>
      </c>
      <c r="K11" s="3" t="s">
        <v>1326</v>
      </c>
      <c r="L11" s="3"/>
      <c r="Z11" t="s">
        <v>1317</v>
      </c>
    </row>
    <row r="12" spans="1:27">
      <c r="A12" s="3" t="s">
        <v>1327</v>
      </c>
      <c r="B12" s="4">
        <v>46099</v>
      </c>
      <c r="C12" s="3" t="s">
        <v>1069</v>
      </c>
      <c r="D12" s="3" t="s">
        <v>1328</v>
      </c>
      <c r="E12" s="3" t="s">
        <v>1329</v>
      </c>
      <c r="F12" s="3" t="s">
        <v>344</v>
      </c>
      <c r="G12" s="3" t="s">
        <v>1115</v>
      </c>
      <c r="H12" s="3" t="s">
        <v>33</v>
      </c>
      <c r="I12" s="4">
        <v>46111</v>
      </c>
      <c r="J12" s="3" t="s">
        <v>1076</v>
      </c>
      <c r="K12" s="3" t="s">
        <v>1330</v>
      </c>
      <c r="L12" s="3"/>
      <c r="Z12" t="s">
        <v>1320</v>
      </c>
    </row>
    <row r="13" spans="1:27">
      <c r="A13" s="3" t="s">
        <v>1331</v>
      </c>
      <c r="B13" s="4">
        <v>46099</v>
      </c>
      <c r="C13" s="3" t="s">
        <v>1069</v>
      </c>
      <c r="D13" s="3" t="s">
        <v>1332</v>
      </c>
      <c r="E13" s="3" t="s">
        <v>1333</v>
      </c>
      <c r="F13" s="3" t="s">
        <v>1067</v>
      </c>
      <c r="G13" s="3" t="s">
        <v>1114</v>
      </c>
      <c r="H13" s="3" t="s">
        <v>33</v>
      </c>
      <c r="I13" s="4">
        <v>46117</v>
      </c>
      <c r="J13" s="3" t="s">
        <v>1076</v>
      </c>
      <c r="K13" s="3"/>
      <c r="L13" s="3"/>
      <c r="Z13" t="s">
        <v>1332</v>
      </c>
    </row>
    <row r="14" spans="1:27">
      <c r="Z14" t="s">
        <v>1328</v>
      </c>
    </row>
    <row r="15" spans="1:27">
      <c r="Z15" t="s">
        <v>1323</v>
      </c>
    </row>
    <row r="16" spans="1:27">
      <c r="Z16" t="s">
        <v>1334</v>
      </c>
    </row>
    <row r="17" spans="26:26">
      <c r="Z17" t="s">
        <v>1335</v>
      </c>
    </row>
    <row r="18" spans="26:26">
      <c r="Z18" t="s">
        <v>1336</v>
      </c>
    </row>
    <row r="19" spans="26:26">
      <c r="Z19" t="s">
        <v>1337</v>
      </c>
    </row>
    <row r="20" spans="26:26">
      <c r="Z20" t="s">
        <v>1338</v>
      </c>
    </row>
  </sheetData>
  <mergeCells count="2">
    <mergeCell ref="A1:L1"/>
    <mergeCell ref="A2:L2"/>
  </mergeCells>
  <conditionalFormatting sqref="F8:F200">
    <cfRule type="cellIs" dxfId="289" priority="1" operator="equal">
      <formula>"Critical"</formula>
    </cfRule>
  </conditionalFormatting>
  <conditionalFormatting sqref="F8:F200">
    <cfRule type="cellIs" dxfId="288" priority="2" operator="equal">
      <formula>"High"</formula>
    </cfRule>
  </conditionalFormatting>
  <conditionalFormatting sqref="F8:F200">
    <cfRule type="cellIs" dxfId="287" priority="3" operator="equal">
      <formula>"Medium"</formula>
    </cfRule>
  </conditionalFormatting>
  <conditionalFormatting sqref="F8:F200">
    <cfRule type="cellIs" dxfId="286" priority="4" operator="equal">
      <formula>"Low"</formula>
    </cfRule>
  </conditionalFormatting>
  <conditionalFormatting sqref="G8:G200">
    <cfRule type="cellIs" dxfId="285" priority="5" operator="equal">
      <formula>"Blocked"</formula>
    </cfRule>
  </conditionalFormatting>
  <conditionalFormatting sqref="G8:G200">
    <cfRule type="cellIs" dxfId="284" priority="6" operator="equal">
      <formula>"In Progress"</formula>
    </cfRule>
  </conditionalFormatting>
  <conditionalFormatting sqref="G8:G200">
    <cfRule type="cellIs" dxfId="283" priority="7" operator="equal">
      <formula>"Completed"</formula>
    </cfRule>
  </conditionalFormatting>
  <conditionalFormatting sqref="G8:G200">
    <cfRule type="cellIs" dxfId="282" priority="8" operator="equal">
      <formula>"Waiting on Company"</formula>
    </cfRule>
  </conditionalFormatting>
  <dataValidations count="4">
    <dataValidation type="list" allowBlank="1" showInputMessage="1" showErrorMessage="1" sqref="F8:F200" xr:uid="{4BB5267D-B992-4C25-80D7-9277FB58C0CF}">
      <formula1>$Z$1:$Z$4</formula1>
    </dataValidation>
    <dataValidation type="list" allowBlank="1" showInputMessage="1" showErrorMessage="1" sqref="G8:G200" xr:uid="{69C973F8-6187-4221-BB6A-4B1DFE8AB756}">
      <formula1>$Z$5:$Z$9</formula1>
    </dataValidation>
    <dataValidation type="list" allowBlank="1" showInputMessage="1" showErrorMessage="1" sqref="D8:D200" xr:uid="{14DCD56D-2CCD-4DAA-9DDE-59A96AB284A5}">
      <formula1>$Z$10:$Z$20</formula1>
    </dataValidation>
    <dataValidation type="list" allowBlank="1" showInputMessage="1" showErrorMessage="1" sqref="J8:J200" xr:uid="{87D96983-C70C-4D71-8D83-B5E5BBDDB800}">
      <formula1>$AA$1:$AA$8</formula1>
    </dataValidation>
  </dataValidation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80FEE-D2F2-4DDC-8ED4-FFEF4F342C3B}">
  <sheetPr>
    <tabColor rgb="FF548235"/>
  </sheetPr>
  <dimension ref="A1:N7"/>
  <sheetViews>
    <sheetView workbookViewId="0">
      <selection sqref="A1:N1"/>
    </sheetView>
  </sheetViews>
  <sheetFormatPr defaultRowHeight="15"/>
  <cols>
    <col min="1" max="1" width="61" customWidth="1"/>
    <col min="2" max="2" width="18.140625" customWidth="1"/>
    <col min="3" max="3" width="30.42578125" customWidth="1"/>
    <col min="4" max="4" width="20" customWidth="1"/>
    <col min="5" max="5" width="68.5703125" customWidth="1"/>
    <col min="6" max="6" width="18.140625" customWidth="1"/>
    <col min="7" max="7" width="21" customWidth="1"/>
    <col min="8" max="10" width="18.140625" customWidth="1"/>
    <col min="11" max="11" width="45.7109375" customWidth="1"/>
    <col min="12" max="12" width="24.7109375" customWidth="1"/>
    <col min="13" max="13" width="21.85546875" customWidth="1"/>
    <col min="14" max="14" width="21" customWidth="1"/>
  </cols>
  <sheetData>
    <row r="1" spans="1:14" ht="21">
      <c r="A1" s="187" t="s">
        <v>1339</v>
      </c>
      <c r="B1" s="76"/>
      <c r="C1" s="76"/>
      <c r="D1" s="76"/>
      <c r="E1" s="76"/>
      <c r="F1" s="76"/>
      <c r="G1" s="76"/>
      <c r="H1" s="76"/>
      <c r="I1" s="76"/>
      <c r="J1" s="76"/>
      <c r="K1" s="76"/>
      <c r="L1" s="76"/>
      <c r="M1" s="76"/>
      <c r="N1" s="76"/>
    </row>
    <row r="2" spans="1:14">
      <c r="A2" s="207" t="s">
        <v>1340</v>
      </c>
      <c r="B2" s="218"/>
      <c r="C2" s="218"/>
      <c r="D2" s="218"/>
      <c r="E2" s="218"/>
      <c r="F2" s="218"/>
      <c r="G2" s="218"/>
      <c r="H2" s="218"/>
      <c r="I2" s="218"/>
      <c r="J2" s="218"/>
      <c r="K2" s="218"/>
      <c r="L2" s="218"/>
      <c r="M2" s="218"/>
      <c r="N2" s="218"/>
    </row>
    <row r="4" spans="1:14">
      <c r="A4" t="s">
        <v>1341</v>
      </c>
      <c r="B4" s="2">
        <f>COUNTA(TableCompleted[ID])</f>
        <v>1</v>
      </c>
      <c r="C4" t="s">
        <v>1342</v>
      </c>
      <c r="D4" s="2" cm="1">
        <f t="array" ref="D4">IFERROR(SUMPRODUCT((TableCompleted[Entity]&lt;&gt;"")/COUNTIFS(TableCompleted[Entity],TableCompleted[Entity]&amp;"")),0)</f>
        <v>1</v>
      </c>
    </row>
    <row r="6" spans="1:14">
      <c r="A6" s="5" t="s">
        <v>661</v>
      </c>
      <c r="B6" s="5" t="s">
        <v>1042</v>
      </c>
      <c r="C6" s="5" t="s">
        <v>811</v>
      </c>
      <c r="D6" s="5" t="s">
        <v>1309</v>
      </c>
      <c r="E6" s="5" t="s">
        <v>1310</v>
      </c>
      <c r="F6" s="5" t="s">
        <v>1047</v>
      </c>
      <c r="G6" s="5" t="s">
        <v>279</v>
      </c>
      <c r="H6" s="5" t="s">
        <v>28</v>
      </c>
      <c r="I6" s="5" t="s">
        <v>1153</v>
      </c>
      <c r="J6" s="5" t="s">
        <v>1311</v>
      </c>
      <c r="K6" s="5" t="s">
        <v>305</v>
      </c>
      <c r="L6" s="5" t="s">
        <v>1154</v>
      </c>
      <c r="M6" s="5" t="s">
        <v>1170</v>
      </c>
      <c r="N6" s="5" t="s">
        <v>1171</v>
      </c>
    </row>
    <row r="7" spans="1:14">
      <c r="A7" s="3" t="s">
        <v>1343</v>
      </c>
      <c r="B7" s="4">
        <v>46063</v>
      </c>
      <c r="C7" s="3" t="s">
        <v>1344</v>
      </c>
      <c r="D7" s="3" t="s">
        <v>1323</v>
      </c>
      <c r="E7" s="3" t="s">
        <v>1345</v>
      </c>
      <c r="F7" s="3" t="s">
        <v>344</v>
      </c>
      <c r="G7" s="3" t="s">
        <v>228</v>
      </c>
      <c r="H7" s="3" t="s">
        <v>1325</v>
      </c>
      <c r="I7" s="4">
        <v>46068</v>
      </c>
      <c r="J7" s="3" t="s">
        <v>1064</v>
      </c>
      <c r="K7" s="3" t="s">
        <v>1346</v>
      </c>
      <c r="L7" s="3"/>
      <c r="M7" s="4">
        <v>46067</v>
      </c>
      <c r="N7" s="3" t="s">
        <v>1325</v>
      </c>
    </row>
  </sheetData>
  <mergeCells count="2">
    <mergeCell ref="A1:N1"/>
    <mergeCell ref="A2:N2"/>
  </mergeCell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517F8-FD07-4E6C-9F68-900F562F61CA}">
  <sheetPr>
    <tabColor rgb="FF9F957C"/>
  </sheetPr>
  <dimension ref="A1:H52"/>
  <sheetViews>
    <sheetView workbookViewId="0">
      <selection sqref="A1:F1"/>
    </sheetView>
  </sheetViews>
  <sheetFormatPr defaultRowHeight="15"/>
  <cols>
    <col min="1" max="1" width="57.140625" customWidth="1"/>
    <col min="2" max="2" width="21" customWidth="1"/>
    <col min="3" max="3" width="72.42578125" customWidth="1"/>
    <col min="4" max="4" width="22.85546875" customWidth="1"/>
    <col min="5" max="5" width="21" customWidth="1"/>
    <col min="6" max="6" width="64.7109375" customWidth="1"/>
  </cols>
  <sheetData>
    <row r="1" spans="1:8" ht="21">
      <c r="A1" s="189" t="s">
        <v>1347</v>
      </c>
      <c r="B1" s="78"/>
      <c r="C1" s="78"/>
      <c r="D1" s="78"/>
      <c r="E1" s="78"/>
      <c r="F1" s="78"/>
    </row>
    <row r="2" spans="1:8">
      <c r="A2" s="207" t="s">
        <v>1348</v>
      </c>
      <c r="B2" s="218"/>
      <c r="C2" s="218"/>
      <c r="D2" s="218"/>
      <c r="E2" s="218"/>
      <c r="F2" s="218"/>
    </row>
    <row r="4" spans="1:8">
      <c r="A4" s="36" t="s">
        <v>1176</v>
      </c>
      <c r="B4" s="36" t="s">
        <v>1309</v>
      </c>
      <c r="C4" s="36" t="s">
        <v>1310</v>
      </c>
      <c r="D4" s="36" t="s">
        <v>1177</v>
      </c>
      <c r="E4" s="36" t="s">
        <v>1349</v>
      </c>
      <c r="F4" s="36" t="s">
        <v>1350</v>
      </c>
    </row>
    <row r="5" spans="1:8">
      <c r="A5" s="36" t="s">
        <v>1351</v>
      </c>
      <c r="B5" s="36" t="s">
        <v>1313</v>
      </c>
      <c r="C5" s="195" t="s">
        <v>1314</v>
      </c>
      <c r="D5" s="195" t="s">
        <v>344</v>
      </c>
      <c r="E5" s="195" t="s">
        <v>1352</v>
      </c>
      <c r="F5" s="195" t="s">
        <v>1353</v>
      </c>
      <c r="G5" s="36"/>
      <c r="H5" s="36"/>
    </row>
    <row r="6" spans="1:8">
      <c r="A6" t="s">
        <v>1354</v>
      </c>
      <c r="B6" t="s">
        <v>1313</v>
      </c>
      <c r="C6" s="6" t="s">
        <v>1355</v>
      </c>
      <c r="D6" s="6" t="s">
        <v>344</v>
      </c>
      <c r="E6" s="6" t="s">
        <v>1356</v>
      </c>
      <c r="F6" s="6" t="s">
        <v>1357</v>
      </c>
    </row>
    <row r="7" spans="1:8">
      <c r="A7" t="s">
        <v>1358</v>
      </c>
      <c r="B7" t="s">
        <v>1313</v>
      </c>
      <c r="C7" s="6" t="s">
        <v>1359</v>
      </c>
      <c r="D7" s="6" t="s">
        <v>1067</v>
      </c>
      <c r="E7" s="6" t="s">
        <v>1360</v>
      </c>
      <c r="F7" s="6" t="s">
        <v>1361</v>
      </c>
    </row>
    <row r="8" spans="1:8">
      <c r="A8" t="s">
        <v>1362</v>
      </c>
      <c r="B8" t="s">
        <v>1313</v>
      </c>
      <c r="C8" s="6" t="s">
        <v>1363</v>
      </c>
      <c r="D8" s="6" t="s">
        <v>344</v>
      </c>
      <c r="E8" s="6" t="s">
        <v>1352</v>
      </c>
      <c r="F8" s="6" t="s">
        <v>1364</v>
      </c>
    </row>
    <row r="9" spans="1:8">
      <c r="A9" t="s">
        <v>1365</v>
      </c>
      <c r="B9" t="s">
        <v>1313</v>
      </c>
      <c r="C9" s="6" t="s">
        <v>1366</v>
      </c>
      <c r="D9" s="6" t="s">
        <v>1075</v>
      </c>
      <c r="E9" s="6" t="s">
        <v>1360</v>
      </c>
      <c r="F9" s="6" t="s">
        <v>1367</v>
      </c>
    </row>
    <row r="10" spans="1:8">
      <c r="A10" t="s">
        <v>1368</v>
      </c>
      <c r="B10" t="s">
        <v>1317</v>
      </c>
      <c r="C10" s="6" t="s">
        <v>1318</v>
      </c>
      <c r="D10" s="6" t="s">
        <v>344</v>
      </c>
      <c r="E10" s="6" t="s">
        <v>1352</v>
      </c>
      <c r="F10" s="6" t="s">
        <v>1369</v>
      </c>
    </row>
    <row r="11" spans="1:8">
      <c r="A11" t="s">
        <v>1370</v>
      </c>
      <c r="B11" t="s">
        <v>1317</v>
      </c>
      <c r="C11" s="6" t="s">
        <v>1371</v>
      </c>
      <c r="D11" s="6" t="s">
        <v>344</v>
      </c>
      <c r="E11" s="6" t="s">
        <v>1356</v>
      </c>
      <c r="F11" s="6" t="s">
        <v>1372</v>
      </c>
    </row>
    <row r="12" spans="1:8">
      <c r="A12" t="s">
        <v>1373</v>
      </c>
      <c r="B12" t="s">
        <v>1317</v>
      </c>
      <c r="C12" s="6" t="s">
        <v>1374</v>
      </c>
      <c r="D12" s="6" t="s">
        <v>1067</v>
      </c>
      <c r="E12" s="6" t="s">
        <v>1352</v>
      </c>
      <c r="F12" s="6" t="s">
        <v>1375</v>
      </c>
    </row>
    <row r="13" spans="1:8">
      <c r="A13" t="s">
        <v>1376</v>
      </c>
      <c r="B13" t="s">
        <v>1317</v>
      </c>
      <c r="C13" s="6" t="s">
        <v>1377</v>
      </c>
      <c r="D13" s="6" t="s">
        <v>1067</v>
      </c>
      <c r="E13" s="6" t="s">
        <v>1352</v>
      </c>
      <c r="F13" s="6" t="s">
        <v>1378</v>
      </c>
    </row>
    <row r="14" spans="1:8">
      <c r="A14" t="s">
        <v>1379</v>
      </c>
      <c r="B14" t="s">
        <v>1317</v>
      </c>
      <c r="C14" s="6" t="s">
        <v>1380</v>
      </c>
      <c r="D14" s="6" t="s">
        <v>1067</v>
      </c>
      <c r="E14" s="6" t="s">
        <v>1352</v>
      </c>
      <c r="F14" s="6" t="s">
        <v>1381</v>
      </c>
    </row>
    <row r="15" spans="1:8">
      <c r="A15" t="s">
        <v>1382</v>
      </c>
      <c r="B15" t="s">
        <v>1320</v>
      </c>
      <c r="C15" s="6" t="s">
        <v>1383</v>
      </c>
      <c r="D15" s="6" t="s">
        <v>344</v>
      </c>
      <c r="E15" s="6" t="s">
        <v>1356</v>
      </c>
      <c r="F15" s="6" t="s">
        <v>1384</v>
      </c>
    </row>
    <row r="16" spans="1:8">
      <c r="A16" t="s">
        <v>1385</v>
      </c>
      <c r="B16" t="s">
        <v>1320</v>
      </c>
      <c r="C16" s="6" t="s">
        <v>1386</v>
      </c>
      <c r="D16" s="6" t="s">
        <v>1067</v>
      </c>
      <c r="E16" s="6" t="s">
        <v>1360</v>
      </c>
      <c r="F16" s="6" t="s">
        <v>1387</v>
      </c>
    </row>
    <row r="17" spans="1:6">
      <c r="A17" t="s">
        <v>1388</v>
      </c>
      <c r="B17" t="s">
        <v>1320</v>
      </c>
      <c r="C17" s="6" t="s">
        <v>1389</v>
      </c>
      <c r="D17" s="6" t="s">
        <v>344</v>
      </c>
      <c r="E17" s="6" t="s">
        <v>1352</v>
      </c>
      <c r="F17" s="6" t="s">
        <v>1390</v>
      </c>
    </row>
    <row r="18" spans="1:6">
      <c r="A18" t="s">
        <v>1391</v>
      </c>
      <c r="B18" t="s">
        <v>1320</v>
      </c>
      <c r="C18" s="6" t="s">
        <v>1392</v>
      </c>
      <c r="D18" s="6" t="s">
        <v>1067</v>
      </c>
      <c r="E18" s="6" t="s">
        <v>1352</v>
      </c>
      <c r="F18" s="6" t="s">
        <v>1393</v>
      </c>
    </row>
    <row r="19" spans="1:6">
      <c r="A19" t="s">
        <v>1394</v>
      </c>
      <c r="B19" t="s">
        <v>1320</v>
      </c>
      <c r="C19" s="6" t="s">
        <v>1395</v>
      </c>
      <c r="D19" s="6" t="s">
        <v>344</v>
      </c>
      <c r="E19" s="6" t="s">
        <v>1396</v>
      </c>
      <c r="F19" s="6" t="s">
        <v>1397</v>
      </c>
    </row>
    <row r="20" spans="1:6">
      <c r="A20" t="s">
        <v>1398</v>
      </c>
      <c r="B20" t="s">
        <v>1332</v>
      </c>
      <c r="C20" s="6" t="s">
        <v>1399</v>
      </c>
      <c r="D20" s="6" t="s">
        <v>344</v>
      </c>
      <c r="E20" s="6" t="s">
        <v>1360</v>
      </c>
      <c r="F20" s="6" t="s">
        <v>1400</v>
      </c>
    </row>
    <row r="21" spans="1:6">
      <c r="A21" t="s">
        <v>1401</v>
      </c>
      <c r="B21" t="s">
        <v>1332</v>
      </c>
      <c r="C21" s="6" t="s">
        <v>1402</v>
      </c>
      <c r="D21" s="6" t="s">
        <v>344</v>
      </c>
      <c r="E21" s="6" t="s">
        <v>1403</v>
      </c>
      <c r="F21" s="6" t="s">
        <v>1404</v>
      </c>
    </row>
    <row r="22" spans="1:6">
      <c r="A22" t="s">
        <v>1405</v>
      </c>
      <c r="B22" t="s">
        <v>1332</v>
      </c>
      <c r="C22" s="6" t="s">
        <v>1406</v>
      </c>
      <c r="D22" s="6" t="s">
        <v>1067</v>
      </c>
      <c r="E22" s="6" t="s">
        <v>1403</v>
      </c>
      <c r="F22" s="6" t="s">
        <v>1407</v>
      </c>
    </row>
    <row r="23" spans="1:6">
      <c r="A23" t="s">
        <v>1408</v>
      </c>
      <c r="B23" t="s">
        <v>1332</v>
      </c>
      <c r="C23" s="6" t="s">
        <v>1409</v>
      </c>
      <c r="D23" s="6" t="s">
        <v>1067</v>
      </c>
      <c r="E23" s="6" t="s">
        <v>1360</v>
      </c>
      <c r="F23" s="6" t="s">
        <v>1410</v>
      </c>
    </row>
    <row r="24" spans="1:6">
      <c r="A24" t="s">
        <v>1411</v>
      </c>
      <c r="B24" t="s">
        <v>1332</v>
      </c>
      <c r="C24" s="6" t="s">
        <v>1412</v>
      </c>
      <c r="D24" s="6" t="s">
        <v>1075</v>
      </c>
      <c r="E24" s="6" t="s">
        <v>1360</v>
      </c>
      <c r="F24" s="6" t="s">
        <v>1413</v>
      </c>
    </row>
    <row r="25" spans="1:6">
      <c r="A25" t="s">
        <v>1414</v>
      </c>
      <c r="B25" t="s">
        <v>1332</v>
      </c>
      <c r="C25" s="6" t="s">
        <v>1415</v>
      </c>
      <c r="D25" s="6" t="s">
        <v>1067</v>
      </c>
      <c r="E25" s="6" t="s">
        <v>1403</v>
      </c>
      <c r="F25" s="6" t="s">
        <v>1416</v>
      </c>
    </row>
    <row r="26" spans="1:6">
      <c r="A26" t="s">
        <v>1417</v>
      </c>
      <c r="B26" t="s">
        <v>1328</v>
      </c>
      <c r="C26" s="6" t="s">
        <v>1418</v>
      </c>
      <c r="D26" s="6" t="s">
        <v>344</v>
      </c>
      <c r="E26" s="6" t="s">
        <v>1360</v>
      </c>
      <c r="F26" s="6" t="s">
        <v>1419</v>
      </c>
    </row>
    <row r="27" spans="1:6">
      <c r="A27" t="s">
        <v>1420</v>
      </c>
      <c r="B27" t="s">
        <v>1328</v>
      </c>
      <c r="C27" s="6" t="s">
        <v>1421</v>
      </c>
      <c r="D27" s="6" t="s">
        <v>344</v>
      </c>
      <c r="E27" s="6" t="s">
        <v>1352</v>
      </c>
      <c r="F27" s="6" t="s">
        <v>1422</v>
      </c>
    </row>
    <row r="28" spans="1:6">
      <c r="A28" t="s">
        <v>1423</v>
      </c>
      <c r="B28" t="s">
        <v>1328</v>
      </c>
      <c r="C28" s="6" t="s">
        <v>1424</v>
      </c>
      <c r="D28" s="6" t="s">
        <v>1067</v>
      </c>
      <c r="E28" s="6" t="s">
        <v>1352</v>
      </c>
      <c r="F28" s="6" t="s">
        <v>1425</v>
      </c>
    </row>
    <row r="29" spans="1:6">
      <c r="A29" t="s">
        <v>1426</v>
      </c>
      <c r="B29" t="s">
        <v>1328</v>
      </c>
      <c r="C29" s="6" t="s">
        <v>1427</v>
      </c>
      <c r="D29" s="6" t="s">
        <v>344</v>
      </c>
      <c r="E29" s="6" t="s">
        <v>1352</v>
      </c>
      <c r="F29" s="6" t="s">
        <v>1428</v>
      </c>
    </row>
    <row r="30" spans="1:6">
      <c r="A30" t="s">
        <v>1429</v>
      </c>
      <c r="B30" t="s">
        <v>1328</v>
      </c>
      <c r="C30" s="6" t="s">
        <v>1430</v>
      </c>
      <c r="D30" s="6" t="s">
        <v>344</v>
      </c>
      <c r="E30" s="6" t="s">
        <v>1352</v>
      </c>
      <c r="F30" s="6" t="s">
        <v>1431</v>
      </c>
    </row>
    <row r="31" spans="1:6">
      <c r="A31" t="s">
        <v>1432</v>
      </c>
      <c r="B31" t="s">
        <v>1328</v>
      </c>
      <c r="C31" s="6" t="s">
        <v>1433</v>
      </c>
      <c r="D31" s="6" t="s">
        <v>1067</v>
      </c>
      <c r="E31" s="6" t="s">
        <v>1403</v>
      </c>
      <c r="F31" s="6" t="s">
        <v>1434</v>
      </c>
    </row>
    <row r="32" spans="1:6">
      <c r="A32" t="s">
        <v>1435</v>
      </c>
      <c r="B32" t="s">
        <v>1334</v>
      </c>
      <c r="C32" s="6" t="s">
        <v>1436</v>
      </c>
      <c r="D32" s="6" t="s">
        <v>1075</v>
      </c>
      <c r="E32" s="6" t="s">
        <v>1403</v>
      </c>
      <c r="F32" s="6" t="s">
        <v>1437</v>
      </c>
    </row>
    <row r="33" spans="1:6">
      <c r="A33" t="s">
        <v>1438</v>
      </c>
      <c r="B33" t="s">
        <v>1334</v>
      </c>
      <c r="C33" s="6" t="s">
        <v>1439</v>
      </c>
      <c r="D33" s="6" t="s">
        <v>1075</v>
      </c>
      <c r="E33" s="6" t="s">
        <v>1360</v>
      </c>
      <c r="F33" s="6" t="s">
        <v>1440</v>
      </c>
    </row>
    <row r="34" spans="1:6">
      <c r="A34" t="s">
        <v>1441</v>
      </c>
      <c r="B34" t="s">
        <v>1323</v>
      </c>
      <c r="C34" s="6" t="s">
        <v>1442</v>
      </c>
      <c r="D34" s="6" t="s">
        <v>344</v>
      </c>
      <c r="E34" s="6" t="s">
        <v>1352</v>
      </c>
      <c r="F34" s="6" t="s">
        <v>1443</v>
      </c>
    </row>
    <row r="35" spans="1:6">
      <c r="A35" t="s">
        <v>1444</v>
      </c>
      <c r="B35" t="s">
        <v>1323</v>
      </c>
      <c r="C35" s="6" t="s">
        <v>1445</v>
      </c>
      <c r="D35" s="6" t="s">
        <v>344</v>
      </c>
      <c r="E35" s="6" t="s">
        <v>1352</v>
      </c>
      <c r="F35" s="6" t="s">
        <v>1446</v>
      </c>
    </row>
    <row r="36" spans="1:6">
      <c r="A36" t="s">
        <v>1447</v>
      </c>
      <c r="B36" t="s">
        <v>1323</v>
      </c>
      <c r="C36" s="6" t="s">
        <v>1448</v>
      </c>
      <c r="D36" s="6" t="s">
        <v>344</v>
      </c>
      <c r="E36" s="6" t="s">
        <v>1352</v>
      </c>
      <c r="F36" s="6" t="s">
        <v>1449</v>
      </c>
    </row>
    <row r="37" spans="1:6">
      <c r="A37" t="s">
        <v>1450</v>
      </c>
      <c r="B37" t="s">
        <v>1323</v>
      </c>
      <c r="C37" s="6" t="s">
        <v>1451</v>
      </c>
      <c r="D37" s="6" t="s">
        <v>1067</v>
      </c>
      <c r="E37" s="6" t="s">
        <v>1360</v>
      </c>
      <c r="F37" s="6" t="s">
        <v>1452</v>
      </c>
    </row>
    <row r="38" spans="1:6">
      <c r="A38" t="s">
        <v>1453</v>
      </c>
      <c r="B38" t="s">
        <v>1323</v>
      </c>
      <c r="C38" s="6" t="s">
        <v>1454</v>
      </c>
      <c r="D38" s="6" t="s">
        <v>1067</v>
      </c>
      <c r="E38" s="6" t="s">
        <v>1352</v>
      </c>
      <c r="F38" s="6" t="s">
        <v>1455</v>
      </c>
    </row>
    <row r="39" spans="1:6">
      <c r="A39" t="s">
        <v>1456</v>
      </c>
      <c r="B39" t="s">
        <v>1323</v>
      </c>
      <c r="C39" s="6" t="s">
        <v>1457</v>
      </c>
      <c r="D39" s="6" t="s">
        <v>1075</v>
      </c>
      <c r="E39" s="6" t="s">
        <v>1403</v>
      </c>
      <c r="F39" s="6" t="s">
        <v>1458</v>
      </c>
    </row>
    <row r="40" spans="1:6">
      <c r="A40" t="s">
        <v>1459</v>
      </c>
      <c r="B40" t="s">
        <v>1335</v>
      </c>
      <c r="C40" s="6" t="s">
        <v>1460</v>
      </c>
      <c r="D40" s="6" t="s">
        <v>1067</v>
      </c>
      <c r="E40" s="6" t="s">
        <v>1360</v>
      </c>
      <c r="F40" s="6" t="s">
        <v>1461</v>
      </c>
    </row>
    <row r="41" spans="1:6">
      <c r="A41" t="s">
        <v>1462</v>
      </c>
      <c r="B41" t="s">
        <v>1335</v>
      </c>
      <c r="C41" s="6" t="s">
        <v>1463</v>
      </c>
      <c r="D41" s="6" t="s">
        <v>1067</v>
      </c>
      <c r="E41" s="6" t="s">
        <v>1352</v>
      </c>
      <c r="F41" s="6" t="s">
        <v>1464</v>
      </c>
    </row>
    <row r="42" spans="1:6">
      <c r="A42" t="s">
        <v>1465</v>
      </c>
      <c r="B42" t="s">
        <v>1335</v>
      </c>
      <c r="C42" s="6" t="s">
        <v>1466</v>
      </c>
      <c r="D42" s="6" t="s">
        <v>1075</v>
      </c>
      <c r="E42" s="6" t="s">
        <v>1403</v>
      </c>
      <c r="F42" s="6" t="s">
        <v>1467</v>
      </c>
    </row>
    <row r="43" spans="1:6">
      <c r="A43" t="s">
        <v>1468</v>
      </c>
      <c r="B43" t="s">
        <v>1336</v>
      </c>
      <c r="C43" s="6" t="s">
        <v>1469</v>
      </c>
      <c r="D43" s="6" t="s">
        <v>1067</v>
      </c>
      <c r="E43" s="6" t="s">
        <v>1360</v>
      </c>
      <c r="F43" s="6" t="s">
        <v>1470</v>
      </c>
    </row>
    <row r="44" spans="1:6">
      <c r="A44" t="s">
        <v>1471</v>
      </c>
      <c r="B44" t="s">
        <v>1336</v>
      </c>
      <c r="C44" s="6" t="s">
        <v>1472</v>
      </c>
      <c r="D44" s="6" t="s">
        <v>1075</v>
      </c>
      <c r="E44" s="6" t="s">
        <v>1403</v>
      </c>
      <c r="F44" s="6" t="s">
        <v>1473</v>
      </c>
    </row>
    <row r="45" spans="1:6">
      <c r="A45" t="s">
        <v>1474</v>
      </c>
      <c r="B45" t="s">
        <v>1336</v>
      </c>
      <c r="C45" s="6" t="s">
        <v>1475</v>
      </c>
      <c r="D45" s="6" t="s">
        <v>1075</v>
      </c>
      <c r="E45" s="6" t="s">
        <v>1403</v>
      </c>
      <c r="F45" s="6" t="s">
        <v>1476</v>
      </c>
    </row>
    <row r="46" spans="1:6">
      <c r="A46" t="s">
        <v>1477</v>
      </c>
      <c r="B46" t="s">
        <v>1337</v>
      </c>
      <c r="C46" s="6" t="s">
        <v>1478</v>
      </c>
      <c r="D46" s="6" t="s">
        <v>1089</v>
      </c>
      <c r="E46" s="6" t="s">
        <v>1403</v>
      </c>
      <c r="F46" s="6" t="s">
        <v>1479</v>
      </c>
    </row>
    <row r="47" spans="1:6">
      <c r="A47" t="s">
        <v>1480</v>
      </c>
      <c r="B47" t="s">
        <v>1338</v>
      </c>
      <c r="C47" s="6" t="s">
        <v>1481</v>
      </c>
      <c r="D47" s="6" t="s">
        <v>344</v>
      </c>
      <c r="E47" s="6" t="s">
        <v>1352</v>
      </c>
      <c r="F47" s="6" t="s">
        <v>1482</v>
      </c>
    </row>
    <row r="48" spans="1:6">
      <c r="A48" t="s">
        <v>1483</v>
      </c>
      <c r="B48" t="s">
        <v>1338</v>
      </c>
      <c r="C48" s="6" t="s">
        <v>1484</v>
      </c>
      <c r="D48" s="6" t="s">
        <v>1067</v>
      </c>
      <c r="E48" s="6" t="s">
        <v>1352</v>
      </c>
      <c r="F48" s="6" t="s">
        <v>1485</v>
      </c>
    </row>
    <row r="49" spans="1:6">
      <c r="A49" t="s">
        <v>1486</v>
      </c>
      <c r="B49" t="s">
        <v>1338</v>
      </c>
      <c r="C49" s="6" t="s">
        <v>1487</v>
      </c>
      <c r="D49" s="6" t="s">
        <v>344</v>
      </c>
      <c r="E49" s="6" t="s">
        <v>1352</v>
      </c>
      <c r="F49" s="6" t="s">
        <v>1488</v>
      </c>
    </row>
    <row r="50" spans="1:6">
      <c r="A50" t="s">
        <v>1489</v>
      </c>
      <c r="B50" t="s">
        <v>1338</v>
      </c>
      <c r="C50" s="6" t="s">
        <v>1490</v>
      </c>
      <c r="D50" s="6" t="s">
        <v>1067</v>
      </c>
      <c r="E50" s="6" t="s">
        <v>1352</v>
      </c>
      <c r="F50" s="6" t="s">
        <v>1491</v>
      </c>
    </row>
    <row r="51" spans="1:6">
      <c r="A51" t="s">
        <v>1492</v>
      </c>
      <c r="B51" t="s">
        <v>1338</v>
      </c>
      <c r="C51" s="6" t="s">
        <v>1493</v>
      </c>
      <c r="D51" s="6" t="s">
        <v>1067</v>
      </c>
      <c r="E51" s="6" t="s">
        <v>1352</v>
      </c>
      <c r="F51" s="6" t="s">
        <v>1494</v>
      </c>
    </row>
    <row r="52" spans="1:6">
      <c r="A52" t="s">
        <v>1495</v>
      </c>
      <c r="B52" t="s">
        <v>1323</v>
      </c>
      <c r="C52" s="6" t="s">
        <v>1496</v>
      </c>
      <c r="D52" s="6" t="s">
        <v>1067</v>
      </c>
      <c r="E52" s="6" t="s">
        <v>1352</v>
      </c>
      <c r="F52" s="6" t="s">
        <v>1497</v>
      </c>
    </row>
  </sheetData>
  <mergeCells count="2">
    <mergeCell ref="A1:F1"/>
    <mergeCell ref="A2:F2"/>
  </mergeCell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02B73-D0AB-4E5C-A621-E5F99611019A}">
  <sheetPr>
    <tabColor rgb="FF7C7871"/>
  </sheetPr>
  <dimension ref="A1:B55"/>
  <sheetViews>
    <sheetView workbookViewId="0"/>
  </sheetViews>
  <sheetFormatPr defaultRowHeight="15"/>
  <cols>
    <col min="1" max="1" width="80" customWidth="1"/>
    <col min="2" max="2" width="41.85546875" customWidth="1"/>
  </cols>
  <sheetData>
    <row r="1" spans="1:2" ht="21">
      <c r="A1" s="188" t="s">
        <v>1498</v>
      </c>
      <c r="B1" s="78"/>
    </row>
    <row r="2" spans="1:2">
      <c r="A2" s="107"/>
    </row>
    <row r="3" spans="1:2" ht="15.75">
      <c r="A3" s="7" t="s">
        <v>496</v>
      </c>
    </row>
    <row r="4" spans="1:2">
      <c r="A4" s="6" t="s">
        <v>1499</v>
      </c>
    </row>
    <row r="5" spans="1:2">
      <c r="A5" s="6"/>
    </row>
    <row r="6" spans="1:2" ht="16.5">
      <c r="A6" s="8" t="s">
        <v>1269</v>
      </c>
    </row>
    <row r="7" spans="1:2">
      <c r="A7" s="6" t="s">
        <v>1500</v>
      </c>
    </row>
    <row r="8" spans="1:2">
      <c r="A8" s="6" t="s">
        <v>1501</v>
      </c>
    </row>
    <row r="9" spans="1:2">
      <c r="A9" s="6" t="s">
        <v>1502</v>
      </c>
    </row>
    <row r="10" spans="1:2">
      <c r="A10" s="6" t="s">
        <v>1503</v>
      </c>
    </row>
    <row r="11" spans="1:2">
      <c r="A11" s="6"/>
    </row>
    <row r="12" spans="1:2" ht="16.5">
      <c r="A12" s="8" t="s">
        <v>1504</v>
      </c>
    </row>
    <row r="13" spans="1:2">
      <c r="A13" s="6" t="s">
        <v>1505</v>
      </c>
    </row>
    <row r="14" spans="1:2">
      <c r="A14" s="6" t="s">
        <v>1506</v>
      </c>
    </row>
    <row r="15" spans="1:2">
      <c r="A15" s="6" t="s">
        <v>1507</v>
      </c>
    </row>
    <row r="16" spans="1:2">
      <c r="A16" s="6" t="s">
        <v>1508</v>
      </c>
    </row>
    <row r="17" spans="1:1">
      <c r="A17" s="6" t="s">
        <v>1509</v>
      </c>
    </row>
    <row r="18" spans="1:1">
      <c r="A18" s="6" t="s">
        <v>1510</v>
      </c>
    </row>
    <row r="19" spans="1:1">
      <c r="A19" s="6"/>
    </row>
    <row r="20" spans="1:1" ht="16.5">
      <c r="A20" s="8" t="s">
        <v>1511</v>
      </c>
    </row>
    <row r="21" spans="1:1">
      <c r="A21" s="6" t="s">
        <v>1512</v>
      </c>
    </row>
    <row r="22" spans="1:1">
      <c r="A22" s="6" t="s">
        <v>1513</v>
      </c>
    </row>
    <row r="23" spans="1:1">
      <c r="A23" s="6" t="s">
        <v>1514</v>
      </c>
    </row>
    <row r="24" spans="1:1">
      <c r="A24" s="6" t="s">
        <v>1515</v>
      </c>
    </row>
    <row r="25" spans="1:1">
      <c r="A25" s="6" t="s">
        <v>1516</v>
      </c>
    </row>
    <row r="26" spans="1:1">
      <c r="A26" s="6" t="s">
        <v>1517</v>
      </c>
    </row>
    <row r="27" spans="1:1">
      <c r="A27" s="6" t="s">
        <v>1518</v>
      </c>
    </row>
    <row r="28" spans="1:1">
      <c r="A28" s="6" t="s">
        <v>1519</v>
      </c>
    </row>
    <row r="29" spans="1:1">
      <c r="A29" s="6" t="s">
        <v>1520</v>
      </c>
    </row>
    <row r="30" spans="1:1">
      <c r="A30" s="6" t="s">
        <v>1521</v>
      </c>
    </row>
    <row r="31" spans="1:1">
      <c r="A31" s="6" t="s">
        <v>1522</v>
      </c>
    </row>
    <row r="32" spans="1:1">
      <c r="A32" s="6" t="s">
        <v>1523</v>
      </c>
    </row>
    <row r="33" spans="1:1">
      <c r="A33" s="6" t="s">
        <v>1524</v>
      </c>
    </row>
    <row r="34" spans="1:1">
      <c r="A34" s="6"/>
    </row>
    <row r="35" spans="1:1" ht="16.5">
      <c r="A35" s="8" t="s">
        <v>1525</v>
      </c>
    </row>
    <row r="36" spans="1:1">
      <c r="A36" s="6" t="s">
        <v>1526</v>
      </c>
    </row>
    <row r="37" spans="1:1">
      <c r="A37" s="6" t="s">
        <v>1527</v>
      </c>
    </row>
    <row r="38" spans="1:1">
      <c r="A38" s="6" t="s">
        <v>1528</v>
      </c>
    </row>
    <row r="39" spans="1:1">
      <c r="A39" s="6" t="s">
        <v>1529</v>
      </c>
    </row>
    <row r="40" spans="1:1">
      <c r="A40" s="6" t="s">
        <v>1530</v>
      </c>
    </row>
    <row r="41" spans="1:1">
      <c r="A41" s="6"/>
    </row>
    <row r="42" spans="1:1" ht="16.5">
      <c r="A42" s="8" t="s">
        <v>1297</v>
      </c>
    </row>
    <row r="43" spans="1:1">
      <c r="A43" s="6" t="s">
        <v>1531</v>
      </c>
    </row>
    <row r="44" spans="1:1">
      <c r="A44" s="6" t="s">
        <v>1532</v>
      </c>
    </row>
    <row r="45" spans="1:1">
      <c r="A45" s="6" t="s">
        <v>1533</v>
      </c>
    </row>
    <row r="46" spans="1:1" ht="30.75">
      <c r="A46" s="6" t="s">
        <v>1534</v>
      </c>
    </row>
    <row r="47" spans="1:1">
      <c r="A47" s="6" t="s">
        <v>1535</v>
      </c>
    </row>
    <row r="48" spans="1:1">
      <c r="A48" s="6" t="s">
        <v>1536</v>
      </c>
    </row>
    <row r="49" spans="1:2">
      <c r="A49" s="6"/>
    </row>
    <row r="50" spans="1:2" ht="16.5">
      <c r="A50" s="8" t="s">
        <v>1537</v>
      </c>
    </row>
    <row r="51" spans="1:2">
      <c r="A51" s="6" t="s">
        <v>1538</v>
      </c>
    </row>
    <row r="52" spans="1:2">
      <c r="A52" s="6" t="s">
        <v>1539</v>
      </c>
    </row>
    <row r="53" spans="1:2">
      <c r="A53" s="6" t="s">
        <v>1540</v>
      </c>
    </row>
    <row r="55" spans="1:2">
      <c r="A55" s="2" t="s">
        <v>1302</v>
      </c>
      <c r="B55" t="s">
        <v>1541</v>
      </c>
    </row>
  </sheetData>
  <mergeCells count="1">
    <mergeCell ref="A1:B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54375-5254-451C-94F3-E5B54471F16E}">
  <sheetPr>
    <tabColor rgb="FF9F957C"/>
  </sheetPr>
  <dimension ref="A1:H33"/>
  <sheetViews>
    <sheetView workbookViewId="0"/>
  </sheetViews>
  <sheetFormatPr defaultRowHeight="15"/>
  <cols>
    <col min="1" max="1" width="80" customWidth="1"/>
    <col min="2" max="2" width="11.140625" bestFit="1" customWidth="1"/>
    <col min="4" max="4" width="11.140625" bestFit="1" customWidth="1"/>
    <col min="5" max="5" width="53.28515625" customWidth="1"/>
  </cols>
  <sheetData>
    <row r="1" spans="1:8" ht="21">
      <c r="A1" s="189" t="s">
        <v>1542</v>
      </c>
      <c r="B1" s="74"/>
      <c r="C1" s="74"/>
      <c r="D1" s="74"/>
      <c r="E1" s="74"/>
    </row>
    <row r="2" spans="1:8">
      <c r="A2" s="207" t="s">
        <v>1543</v>
      </c>
      <c r="B2" s="205"/>
      <c r="C2" s="205"/>
      <c r="D2" s="205"/>
      <c r="E2" s="205"/>
    </row>
    <row r="4" spans="1:8">
      <c r="A4" s="216" t="s">
        <v>1544</v>
      </c>
      <c r="B4" s="216"/>
      <c r="C4" s="216"/>
      <c r="D4" s="216"/>
      <c r="E4" s="216"/>
    </row>
    <row r="5" spans="1:8">
      <c r="A5" s="36" t="s">
        <v>817</v>
      </c>
      <c r="B5" s="36" t="s">
        <v>1100</v>
      </c>
      <c r="C5" s="36" t="s">
        <v>1041</v>
      </c>
      <c r="D5" s="36" t="s">
        <v>1099</v>
      </c>
      <c r="E5" s="36"/>
      <c r="F5" s="36"/>
      <c r="G5" s="36"/>
      <c r="H5" s="36"/>
    </row>
    <row r="6" spans="1:8">
      <c r="A6" t="s">
        <v>1545</v>
      </c>
      <c r="B6" s="3" t="s">
        <v>38</v>
      </c>
      <c r="C6" t="s">
        <v>1546</v>
      </c>
      <c r="D6" s="3" t="s">
        <v>1076</v>
      </c>
    </row>
    <row r="7" spans="1:8">
      <c r="A7" t="s">
        <v>1044</v>
      </c>
      <c r="B7" s="3" t="s">
        <v>1102</v>
      </c>
      <c r="C7" t="s">
        <v>1547</v>
      </c>
      <c r="D7" s="3" t="s">
        <v>38</v>
      </c>
    </row>
    <row r="8" spans="1:8">
      <c r="A8" t="s">
        <v>1548</v>
      </c>
      <c r="B8" s="4">
        <v>46103</v>
      </c>
      <c r="C8" t="s">
        <v>1549</v>
      </c>
      <c r="D8" s="4">
        <v>46109</v>
      </c>
    </row>
    <row r="10" spans="1:8">
      <c r="A10" s="216" t="s">
        <v>1550</v>
      </c>
      <c r="B10" s="216"/>
      <c r="C10" s="216"/>
      <c r="D10" s="216"/>
      <c r="E10" s="216"/>
    </row>
    <row r="11" spans="1:8">
      <c r="A11" s="22" t="s">
        <v>1551</v>
      </c>
      <c r="B11" s="22" t="s">
        <v>1552</v>
      </c>
      <c r="C11" s="22" t="s">
        <v>1553</v>
      </c>
      <c r="D11" s="22" t="s">
        <v>1554</v>
      </c>
      <c r="E11" s="22" t="s">
        <v>1555</v>
      </c>
    </row>
    <row r="12" spans="1:8">
      <c r="A12" t="s">
        <v>1556</v>
      </c>
      <c r="B12" s="47">
        <v>0.2</v>
      </c>
      <c r="C12" s="3">
        <v>5</v>
      </c>
      <c r="D12" s="49">
        <f>B12*C12</f>
        <v>1</v>
      </c>
      <c r="E12" s="3" t="s">
        <v>1557</v>
      </c>
    </row>
    <row r="13" spans="1:8">
      <c r="A13" t="s">
        <v>1558</v>
      </c>
      <c r="B13" s="47">
        <v>0.15</v>
      </c>
      <c r="C13" s="3">
        <v>4</v>
      </c>
      <c r="D13" s="49">
        <f>B13*C13</f>
        <v>0.6</v>
      </c>
      <c r="E13" s="3" t="s">
        <v>1559</v>
      </c>
    </row>
    <row r="14" spans="1:8">
      <c r="A14" t="s">
        <v>1560</v>
      </c>
      <c r="B14" s="47">
        <v>0.15</v>
      </c>
      <c r="C14" s="3">
        <v>4</v>
      </c>
      <c r="D14" s="49">
        <f>B14*C14</f>
        <v>0.6</v>
      </c>
      <c r="E14" s="3" t="s">
        <v>1561</v>
      </c>
    </row>
    <row r="15" spans="1:8">
      <c r="A15" t="s">
        <v>1562</v>
      </c>
      <c r="B15" s="47">
        <v>0.2</v>
      </c>
      <c r="C15" s="3">
        <v>4</v>
      </c>
      <c r="D15" s="49">
        <f>B15*C15</f>
        <v>0.8</v>
      </c>
      <c r="E15" s="3" t="s">
        <v>1563</v>
      </c>
    </row>
    <row r="16" spans="1:8">
      <c r="A16" t="s">
        <v>1564</v>
      </c>
      <c r="B16" s="47">
        <v>0.1</v>
      </c>
      <c r="C16" s="3">
        <v>3</v>
      </c>
      <c r="D16" s="49">
        <f>B16*C16</f>
        <v>0.30000000000000004</v>
      </c>
      <c r="E16" s="3" t="s">
        <v>1565</v>
      </c>
    </row>
    <row r="17" spans="1:5">
      <c r="A17" t="s">
        <v>1566</v>
      </c>
      <c r="B17" s="47">
        <v>0.1</v>
      </c>
      <c r="C17" s="3">
        <v>5</v>
      </c>
      <c r="D17" s="49">
        <f>B17*C17</f>
        <v>0.5</v>
      </c>
      <c r="E17" s="3" t="s">
        <v>1567</v>
      </c>
    </row>
    <row r="18" spans="1:5">
      <c r="A18" t="s">
        <v>1568</v>
      </c>
      <c r="B18" s="47">
        <v>0.1</v>
      </c>
      <c r="C18" s="3">
        <v>3</v>
      </c>
      <c r="D18" s="49">
        <f>B18*C18</f>
        <v>0.30000000000000004</v>
      </c>
      <c r="E18" s="3" t="s">
        <v>1569</v>
      </c>
    </row>
    <row r="19" spans="1:5">
      <c r="A19" s="2" t="s">
        <v>1570</v>
      </c>
      <c r="B19" s="51">
        <f>SUM(B12:B18)</f>
        <v>0.99999999999999989</v>
      </c>
      <c r="D19" s="52">
        <f>SUM(D12:D18)</f>
        <v>4.0999999999999996</v>
      </c>
      <c r="E19" s="2" t="str">
        <f>IF(ABS(B19-1)&gt;0.001,"FIX WEIGHTS TO 100%","Weights OK")</f>
        <v>Weights OK</v>
      </c>
    </row>
    <row r="21" spans="1:5">
      <c r="A21" s="216" t="s">
        <v>1571</v>
      </c>
      <c r="B21" s="216"/>
      <c r="C21" s="216"/>
      <c r="D21" s="216"/>
      <c r="E21" s="216"/>
    </row>
    <row r="22" spans="1:5">
      <c r="A22" t="s">
        <v>1572</v>
      </c>
      <c r="B22" s="49">
        <f>D19</f>
        <v>4.0999999999999996</v>
      </c>
    </row>
    <row r="23" spans="1:5" ht="15.75">
      <c r="A23" t="s">
        <v>592</v>
      </c>
      <c r="B23" s="1" t="str">
        <f>IF(B22&gt;=4,"Strong advance",IF(B22&gt;=3.25,"Advance with conditions",IF(B22&gt;=2.5,"Watch / more work","Pass")))</f>
        <v>Strong advance</v>
      </c>
    </row>
    <row r="24" spans="1:5">
      <c r="A24" t="s">
        <v>1573</v>
      </c>
      <c r="B24" s="3" t="s">
        <v>1574</v>
      </c>
    </row>
    <row r="25" spans="1:5">
      <c r="A25" t="s">
        <v>1575</v>
      </c>
      <c r="B25" s="3" t="s">
        <v>1576</v>
      </c>
    </row>
    <row r="27" spans="1:5">
      <c r="A27" s="219" t="s">
        <v>1577</v>
      </c>
      <c r="B27" s="219"/>
      <c r="C27" s="219"/>
      <c r="D27" s="219"/>
      <c r="E27" s="219"/>
    </row>
    <row r="28" spans="1:5">
      <c r="A28" t="s">
        <v>1578</v>
      </c>
      <c r="B28" s="3" t="s">
        <v>1579</v>
      </c>
    </row>
    <row r="29" spans="1:5">
      <c r="A29" t="s">
        <v>1580</v>
      </c>
      <c r="B29" s="3" t="s">
        <v>1581</v>
      </c>
    </row>
    <row r="30" spans="1:5">
      <c r="A30" t="s">
        <v>1582</v>
      </c>
      <c r="B30" s="3" t="s">
        <v>1583</v>
      </c>
    </row>
    <row r="31" spans="1:5">
      <c r="A31" t="s">
        <v>1584</v>
      </c>
      <c r="B31" s="3" t="s">
        <v>1585</v>
      </c>
    </row>
    <row r="33" spans="1:5">
      <c r="A33" s="204" t="s">
        <v>1586</v>
      </c>
      <c r="B33" s="204"/>
      <c r="C33" s="204"/>
      <c r="D33" s="204"/>
      <c r="E33" s="204"/>
    </row>
  </sheetData>
  <mergeCells count="7">
    <mergeCell ref="A33:E33"/>
    <mergeCell ref="A1:E1"/>
    <mergeCell ref="A2:E2"/>
    <mergeCell ref="A4:E4"/>
    <mergeCell ref="A10:E10"/>
    <mergeCell ref="A21:E21"/>
    <mergeCell ref="A27:E27"/>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99E27-0B74-4E3C-973F-A396D2441C6A}">
  <sheetPr>
    <tabColor rgb="FF9F957C"/>
  </sheetPr>
  <dimension ref="A1:G59"/>
  <sheetViews>
    <sheetView workbookViewId="0"/>
  </sheetViews>
  <sheetFormatPr defaultRowHeight="15"/>
  <cols>
    <col min="1" max="1" width="80" customWidth="1"/>
  </cols>
  <sheetData>
    <row r="1" spans="1:7" ht="21">
      <c r="A1" s="189" t="s">
        <v>1587</v>
      </c>
      <c r="B1" s="77"/>
      <c r="C1" s="77"/>
      <c r="D1" s="77"/>
      <c r="E1" s="77"/>
      <c r="F1" s="77"/>
      <c r="G1" s="77"/>
    </row>
    <row r="2" spans="1:7">
      <c r="A2" s="207" t="s">
        <v>1588</v>
      </c>
      <c r="B2" s="205"/>
      <c r="C2" s="205"/>
      <c r="D2" s="205"/>
      <c r="E2" s="205"/>
      <c r="F2" s="205"/>
      <c r="G2" s="205"/>
    </row>
    <row r="4" spans="1:7">
      <c r="A4" s="220" t="s">
        <v>1589</v>
      </c>
      <c r="B4" s="220"/>
    </row>
    <row r="5" spans="1:7">
      <c r="A5" t="s">
        <v>817</v>
      </c>
      <c r="B5" s="3" t="s">
        <v>1100</v>
      </c>
    </row>
    <row r="6" spans="1:7">
      <c r="A6" t="s">
        <v>1590</v>
      </c>
      <c r="B6" s="3" t="s">
        <v>1591</v>
      </c>
    </row>
    <row r="7" spans="1:7">
      <c r="A7" t="s">
        <v>1592</v>
      </c>
      <c r="B7" s="12">
        <v>45</v>
      </c>
    </row>
    <row r="8" spans="1:7">
      <c r="A8" t="s">
        <v>1593</v>
      </c>
      <c r="B8" s="12">
        <v>12</v>
      </c>
    </row>
    <row r="9" spans="1:7">
      <c r="A9" t="s">
        <v>1594</v>
      </c>
      <c r="B9" s="12">
        <v>4</v>
      </c>
    </row>
    <row r="10" spans="1:7">
      <c r="A10" t="s">
        <v>1595</v>
      </c>
      <c r="B10" s="42">
        <f>B7+B8</f>
        <v>57</v>
      </c>
    </row>
    <row r="11" spans="1:7">
      <c r="A11" t="s">
        <v>1596</v>
      </c>
      <c r="B11" s="40">
        <f>IFERROR(B9/B10,0)</f>
        <v>7.0175438596491224E-2</v>
      </c>
    </row>
    <row r="12" spans="1:7">
      <c r="A12" t="s">
        <v>1597</v>
      </c>
      <c r="B12" s="13">
        <v>0.1</v>
      </c>
    </row>
    <row r="14" spans="1:7">
      <c r="A14" s="220" t="s">
        <v>1598</v>
      </c>
      <c r="B14" s="220"/>
    </row>
    <row r="15" spans="1:7">
      <c r="A15" t="s">
        <v>284</v>
      </c>
      <c r="B15" s="9">
        <v>3200</v>
      </c>
    </row>
    <row r="16" spans="1:7">
      <c r="A16" t="s">
        <v>1599</v>
      </c>
      <c r="B16" s="13">
        <v>0.85</v>
      </c>
    </row>
    <row r="17" spans="1:7">
      <c r="A17" t="s">
        <v>1600</v>
      </c>
      <c r="B17" s="13">
        <v>0.78</v>
      </c>
    </row>
    <row r="18" spans="1:7">
      <c r="A18" t="s">
        <v>1601</v>
      </c>
      <c r="B18" s="13">
        <v>1.1499999999999999</v>
      </c>
    </row>
    <row r="19" spans="1:7">
      <c r="A19" t="s">
        <v>1602</v>
      </c>
      <c r="B19" s="13">
        <v>0.08</v>
      </c>
    </row>
    <row r="20" spans="1:7">
      <c r="A20" t="s">
        <v>1603</v>
      </c>
      <c r="B20" s="43">
        <v>18000</v>
      </c>
    </row>
    <row r="21" spans="1:7">
      <c r="A21" t="s">
        <v>1604</v>
      </c>
      <c r="B21" s="43">
        <v>95000</v>
      </c>
    </row>
    <row r="22" spans="1:7">
      <c r="A22" t="s">
        <v>1605</v>
      </c>
      <c r="B22" s="44">
        <f>IFERROR(B21/B20,0)</f>
        <v>5.2777777777777777</v>
      </c>
    </row>
    <row r="23" spans="1:7">
      <c r="A23" t="s">
        <v>1606</v>
      </c>
      <c r="B23" s="45">
        <v>11</v>
      </c>
    </row>
    <row r="24" spans="1:7">
      <c r="A24" t="s">
        <v>1607</v>
      </c>
      <c r="B24" s="9">
        <v>280</v>
      </c>
    </row>
    <row r="25" spans="1:7">
      <c r="A25" t="s">
        <v>1608</v>
      </c>
      <c r="B25" s="9">
        <v>140</v>
      </c>
    </row>
    <row r="26" spans="1:7">
      <c r="A26" t="s">
        <v>287</v>
      </c>
      <c r="B26" s="9">
        <v>2100</v>
      </c>
    </row>
    <row r="27" spans="1:7">
      <c r="A27" t="s">
        <v>1609</v>
      </c>
      <c r="B27" s="42">
        <f>IFERROR(B26/B25,0)</f>
        <v>15</v>
      </c>
    </row>
    <row r="28" spans="1:7">
      <c r="A28" t="s">
        <v>1610</v>
      </c>
      <c r="B28" s="42">
        <f>IFERROR((B26+B8*1000)/B25,0)</f>
        <v>100.71428571428571</v>
      </c>
    </row>
    <row r="30" spans="1:7">
      <c r="A30" s="220" t="s">
        <v>1611</v>
      </c>
      <c r="B30" s="220"/>
      <c r="C30" s="220"/>
      <c r="D30" s="220"/>
      <c r="E30" s="220"/>
      <c r="F30" s="220"/>
      <c r="G30" s="220"/>
    </row>
    <row r="31" spans="1:7">
      <c r="A31" s="22" t="s">
        <v>1612</v>
      </c>
      <c r="B31" s="22" t="s">
        <v>1613</v>
      </c>
      <c r="C31" s="22">
        <v>1</v>
      </c>
      <c r="D31" s="22">
        <v>2</v>
      </c>
      <c r="E31" s="22">
        <v>3</v>
      </c>
      <c r="F31" s="22">
        <v>4</v>
      </c>
      <c r="G31" s="22">
        <v>5</v>
      </c>
    </row>
    <row r="32" spans="1:7">
      <c r="A32" t="s">
        <v>1614</v>
      </c>
      <c r="B32" t="s">
        <v>193</v>
      </c>
      <c r="C32" s="47">
        <v>0.7</v>
      </c>
      <c r="D32" s="47">
        <v>0.55000000000000004</v>
      </c>
      <c r="E32" s="47">
        <v>0.4</v>
      </c>
      <c r="F32" s="47">
        <v>0.3</v>
      </c>
      <c r="G32" s="47">
        <v>0.25</v>
      </c>
    </row>
    <row r="33" spans="1:7">
      <c r="A33" t="s">
        <v>284</v>
      </c>
      <c r="B33" s="41">
        <f>B15</f>
        <v>3200</v>
      </c>
      <c r="C33" s="41">
        <f>B33*(1+C32)</f>
        <v>5440</v>
      </c>
      <c r="D33" s="41">
        <f>C33*(1+D32)</f>
        <v>8432</v>
      </c>
      <c r="E33" s="41">
        <f>D33*(1+E32)</f>
        <v>11804.8</v>
      </c>
      <c r="F33" s="41">
        <f>E33*(1+F32)</f>
        <v>15346.24</v>
      </c>
      <c r="G33" s="41">
        <f>F33*(1+G32)</f>
        <v>19182.8</v>
      </c>
    </row>
    <row r="35" spans="1:7">
      <c r="A35" s="219" t="s">
        <v>1615</v>
      </c>
      <c r="B35" s="219"/>
    </row>
    <row r="36" spans="1:7">
      <c r="A36" t="s">
        <v>1616</v>
      </c>
      <c r="B36" s="3">
        <v>5</v>
      </c>
    </row>
    <row r="37" spans="1:7">
      <c r="A37" t="s">
        <v>1617</v>
      </c>
      <c r="B37" s="48">
        <v>10</v>
      </c>
    </row>
    <row r="38" spans="1:7">
      <c r="A38" t="s">
        <v>1618</v>
      </c>
      <c r="B38" s="41">
        <f>G33</f>
        <v>19182.8</v>
      </c>
    </row>
    <row r="39" spans="1:7">
      <c r="A39" t="s">
        <v>1619</v>
      </c>
      <c r="B39" s="42">
        <f>B38*B37/1000</f>
        <v>191.828</v>
      </c>
    </row>
    <row r="40" spans="1:7">
      <c r="A40" t="s">
        <v>1620</v>
      </c>
      <c r="B40" s="47">
        <v>0.7</v>
      </c>
    </row>
    <row r="41" spans="1:7">
      <c r="A41" t="s">
        <v>1621</v>
      </c>
      <c r="B41" s="40">
        <f>B11*B40</f>
        <v>4.9122807017543853E-2</v>
      </c>
    </row>
    <row r="42" spans="1:7">
      <c r="A42" t="s">
        <v>1622</v>
      </c>
      <c r="B42" s="49">
        <f>B39*B41</f>
        <v>9.4231298245614017</v>
      </c>
    </row>
    <row r="43" spans="1:7">
      <c r="A43" t="s">
        <v>1623</v>
      </c>
      <c r="B43" s="50">
        <f>IFERROR(B42/B9,0)</f>
        <v>2.3557824561403504</v>
      </c>
    </row>
    <row r="44" spans="1:7">
      <c r="A44" t="s">
        <v>1624</v>
      </c>
      <c r="B44" s="40">
        <f>IFERROR((B43)^(1/B36)-1,0)</f>
        <v>0.18693527401025345</v>
      </c>
    </row>
    <row r="46" spans="1:7">
      <c r="A46" s="219" t="s">
        <v>1625</v>
      </c>
      <c r="B46" s="219"/>
      <c r="C46" s="219"/>
      <c r="D46" s="219"/>
      <c r="E46" s="219"/>
      <c r="F46" s="219"/>
    </row>
    <row r="47" spans="1:7">
      <c r="A47" s="22" t="s">
        <v>1626</v>
      </c>
      <c r="B47" s="22">
        <v>6</v>
      </c>
      <c r="C47" s="22">
        <v>8</v>
      </c>
      <c r="D47" s="22">
        <v>10</v>
      </c>
      <c r="E47" s="22">
        <v>12</v>
      </c>
      <c r="F47" s="22">
        <v>15</v>
      </c>
    </row>
    <row r="48" spans="1:7">
      <c r="A48" s="47">
        <v>0.7</v>
      </c>
      <c r="B48" s="42">
        <f>$G$33*B$47/1000*A48</f>
        <v>80.567759999999993</v>
      </c>
      <c r="C48" s="42">
        <f>$G$33*C$47/1000*A48</f>
        <v>107.42367999999999</v>
      </c>
      <c r="D48" s="42">
        <f>$G$33*D$47/1000*A48</f>
        <v>134.27959999999999</v>
      </c>
      <c r="E48" s="42">
        <f>$G$33*E$47/1000*A48</f>
        <v>161.13551999999999</v>
      </c>
      <c r="F48" s="42">
        <f>$G$33*F$47/1000*A48</f>
        <v>201.4194</v>
      </c>
    </row>
    <row r="49" spans="1:6">
      <c r="A49" s="46">
        <v>1</v>
      </c>
      <c r="B49" s="42">
        <f>$G$33*B$47/1000*A49</f>
        <v>115.09679999999999</v>
      </c>
      <c r="C49" s="42">
        <f>$G$33*C$47/1000*A49</f>
        <v>153.4624</v>
      </c>
      <c r="D49" s="42">
        <f>$G$33*D$47/1000*A49</f>
        <v>191.828</v>
      </c>
      <c r="E49" s="42">
        <f>$G$33*E$47/1000*A49</f>
        <v>230.19359999999998</v>
      </c>
      <c r="F49" s="42">
        <f>$G$33*F$47/1000*A49</f>
        <v>287.74200000000002</v>
      </c>
    </row>
    <row r="50" spans="1:6">
      <c r="A50" s="47">
        <v>1.3</v>
      </c>
      <c r="B50" s="42">
        <f>$G$33*B$47/1000*A50</f>
        <v>149.62583999999998</v>
      </c>
      <c r="C50" s="42">
        <f>$G$33*C$47/1000*A50</f>
        <v>199.50112000000001</v>
      </c>
      <c r="D50" s="42">
        <f>$G$33*D$47/1000*A50</f>
        <v>249.37640000000002</v>
      </c>
      <c r="E50" s="42">
        <f>$G$33*E$47/1000*A50</f>
        <v>299.25167999999996</v>
      </c>
      <c r="F50" s="42">
        <f>$G$33*F$47/1000*A50</f>
        <v>374.06460000000004</v>
      </c>
    </row>
    <row r="52" spans="1:6">
      <c r="A52" s="216" t="s">
        <v>1627</v>
      </c>
      <c r="B52" s="216"/>
      <c r="C52" s="216"/>
    </row>
    <row r="53" spans="1:6">
      <c r="A53" s="22" t="s">
        <v>1628</v>
      </c>
      <c r="B53" s="22" t="s">
        <v>1629</v>
      </c>
      <c r="C53" s="22" t="s">
        <v>1630</v>
      </c>
    </row>
    <row r="54" spans="1:6">
      <c r="A54" t="s">
        <v>1631</v>
      </c>
      <c r="B54" t="s">
        <v>1632</v>
      </c>
      <c r="C54" t="str">
        <f>IF(B22&gt;=3,"Pass","Fail")</f>
        <v>Pass</v>
      </c>
    </row>
    <row r="55" spans="1:6">
      <c r="A55" t="s">
        <v>1633</v>
      </c>
      <c r="B55" t="s">
        <v>1634</v>
      </c>
      <c r="C55" t="str">
        <f>IF(B18&gt;=1.1,"Pass",IF(B18&gt;=1,"OK","Fail"))</f>
        <v>Pass</v>
      </c>
    </row>
    <row r="56" spans="1:6">
      <c r="A56" t="s">
        <v>1600</v>
      </c>
      <c r="B56" t="s">
        <v>1635</v>
      </c>
      <c r="C56" t="str">
        <f>IF(B17&gt;=0.7,"Pass","Watch")</f>
        <v>Pass</v>
      </c>
    </row>
    <row r="57" spans="1:6">
      <c r="A57" t="s">
        <v>1636</v>
      </c>
      <c r="B57" t="s">
        <v>1637</v>
      </c>
      <c r="C57" t="str">
        <f>IF(B28&gt;=18,"Pass",IF(B28&gt;=12,"Watch","Fail"))</f>
        <v>Pass</v>
      </c>
    </row>
    <row r="58" spans="1:6">
      <c r="A58" t="s">
        <v>1638</v>
      </c>
      <c r="B58" t="s">
        <v>1639</v>
      </c>
      <c r="C58" t="str">
        <f>IF(B11&gt;=0.08,"Pass","Watch")</f>
        <v>Watch</v>
      </c>
    </row>
    <row r="59" spans="1:6">
      <c r="A59" t="s">
        <v>1640</v>
      </c>
      <c r="B59" t="s">
        <v>1641</v>
      </c>
      <c r="C59" t="str">
        <f>IF(B43&gt;=3,"Pass",IF(B43&gt;=2,"Watch","Fail"))</f>
        <v>Watch</v>
      </c>
    </row>
  </sheetData>
  <mergeCells count="8">
    <mergeCell ref="A46:F46"/>
    <mergeCell ref="A52:C52"/>
    <mergeCell ref="A1:G1"/>
    <mergeCell ref="A2:G2"/>
    <mergeCell ref="A4:B4"/>
    <mergeCell ref="A14:B14"/>
    <mergeCell ref="A30:G30"/>
    <mergeCell ref="A35:B3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3EBAB-F969-4CB1-93BC-3FA3E0FA4FFC}">
  <sheetPr>
    <tabColor rgb="FF535C63"/>
  </sheetPr>
  <dimension ref="A1:AB9"/>
  <sheetViews>
    <sheetView workbookViewId="0"/>
  </sheetViews>
  <sheetFormatPr defaultRowHeight="15"/>
  <cols>
    <col min="1" max="1" width="76.140625" customWidth="1"/>
    <col min="2" max="2" width="19" customWidth="1"/>
    <col min="3" max="3" width="28.5703125" customWidth="1"/>
    <col min="4" max="4" width="17.140625" customWidth="1"/>
    <col min="5" max="5" width="26.7109375" customWidth="1"/>
    <col min="6" max="7" width="19" customWidth="1"/>
    <col min="8" max="8" width="21" customWidth="1"/>
    <col min="9" max="9" width="22.85546875" customWidth="1"/>
    <col min="10" max="11" width="21" customWidth="1"/>
    <col min="12" max="12" width="19" customWidth="1"/>
    <col min="13" max="16" width="21" customWidth="1"/>
    <col min="17" max="17" width="57.140625" customWidth="1"/>
    <col min="18" max="18" width="22.85546875" customWidth="1"/>
    <col min="19" max="19" width="49.5703125" customWidth="1"/>
    <col min="26" max="28" width="0" hidden="1" customWidth="1"/>
  </cols>
  <sheetData>
    <row r="1" spans="1:28" ht="21">
      <c r="A1" s="191" t="s">
        <v>1642</v>
      </c>
      <c r="B1" s="80"/>
      <c r="C1" s="80"/>
      <c r="D1" s="80"/>
      <c r="E1" s="80"/>
      <c r="F1" s="80"/>
      <c r="G1" s="80"/>
      <c r="H1" s="80"/>
      <c r="I1" s="80"/>
      <c r="J1" s="80"/>
      <c r="K1" s="80"/>
      <c r="L1" s="80"/>
      <c r="M1" s="80"/>
      <c r="N1" s="80"/>
      <c r="O1" s="80"/>
      <c r="P1" s="80"/>
      <c r="Q1" s="80"/>
      <c r="R1" s="80"/>
      <c r="S1" s="80"/>
      <c r="Z1" t="s">
        <v>1643</v>
      </c>
      <c r="AA1" t="s">
        <v>344</v>
      </c>
      <c r="AB1" t="s">
        <v>1591</v>
      </c>
    </row>
    <row r="2" spans="1:28">
      <c r="A2" s="207" t="s">
        <v>1644</v>
      </c>
      <c r="B2" s="218"/>
      <c r="C2" s="218"/>
      <c r="D2" s="218"/>
      <c r="E2" s="218"/>
      <c r="F2" s="218"/>
      <c r="G2" s="218"/>
      <c r="H2" s="218"/>
      <c r="I2" s="218"/>
      <c r="J2" s="218"/>
      <c r="K2" s="218"/>
      <c r="L2" s="218"/>
      <c r="M2" s="218"/>
      <c r="N2" s="218"/>
      <c r="O2" s="218"/>
      <c r="P2" s="218"/>
      <c r="Q2" s="218"/>
      <c r="R2" s="218"/>
      <c r="S2" s="218"/>
      <c r="Z2" t="s">
        <v>1645</v>
      </c>
      <c r="AA2" t="s">
        <v>1067</v>
      </c>
      <c r="AB2" t="s">
        <v>1646</v>
      </c>
    </row>
    <row r="3" spans="1:28">
      <c r="Z3" t="s">
        <v>1647</v>
      </c>
      <c r="AA3" t="s">
        <v>1075</v>
      </c>
      <c r="AB3" t="s">
        <v>1648</v>
      </c>
    </row>
    <row r="4" spans="1:28" ht="15.75">
      <c r="A4" s="1" t="s">
        <v>1035</v>
      </c>
      <c r="Z4" t="s">
        <v>1649</v>
      </c>
      <c r="AA4" t="s">
        <v>1089</v>
      </c>
      <c r="AB4" t="s">
        <v>1109</v>
      </c>
    </row>
    <row r="5" spans="1:28">
      <c r="A5" t="s">
        <v>1650</v>
      </c>
      <c r="B5" s="2">
        <f>COUNTA(TableDeal[Deal ID])</f>
        <v>2</v>
      </c>
      <c r="C5" t="s">
        <v>1651</v>
      </c>
      <c r="D5" s="2">
        <f>COUNTIF(TableDeal[Execution Stage],"Closing Conditions")+COUNTIF(TableDeal[Execution Stage],"Signing Ready")</f>
        <v>0</v>
      </c>
      <c r="E5" t="s">
        <v>1652</v>
      </c>
      <c r="F5" s="2">
        <f>COUNTIF(TableDeal[Execution Stage],"Term Sheet")</f>
        <v>0</v>
      </c>
      <c r="G5" t="s">
        <v>1653</v>
      </c>
      <c r="H5" s="2">
        <f>COUNTIF(TableDeal[Priority],"Critical")</f>
        <v>2</v>
      </c>
      <c r="Z5" t="s">
        <v>1654</v>
      </c>
    </row>
    <row r="6" spans="1:28">
      <c r="A6" s="37"/>
      <c r="B6" s="37"/>
      <c r="C6" s="37"/>
      <c r="D6" s="37"/>
      <c r="E6" s="37"/>
      <c r="F6" s="37"/>
      <c r="G6" s="37"/>
      <c r="H6" s="37"/>
      <c r="I6" s="37"/>
      <c r="J6" s="37"/>
      <c r="K6" s="37"/>
      <c r="L6" s="37"/>
      <c r="M6" s="37"/>
      <c r="N6" s="37"/>
      <c r="Z6" t="s">
        <v>1655</v>
      </c>
    </row>
    <row r="7" spans="1:28">
      <c r="A7" s="37" t="s">
        <v>1656</v>
      </c>
      <c r="B7" s="37" t="s">
        <v>1042</v>
      </c>
      <c r="C7" s="37" t="s">
        <v>817</v>
      </c>
      <c r="D7" s="37" t="s">
        <v>1041</v>
      </c>
      <c r="E7" s="37" t="s">
        <v>1657</v>
      </c>
      <c r="F7" s="37" t="s">
        <v>1047</v>
      </c>
      <c r="G7" s="37" t="s">
        <v>28</v>
      </c>
      <c r="H7" s="37" t="s">
        <v>1325</v>
      </c>
      <c r="I7" s="37" t="s">
        <v>1590</v>
      </c>
      <c r="J7" s="37" t="s">
        <v>1658</v>
      </c>
      <c r="K7" s="37" t="s">
        <v>1052</v>
      </c>
      <c r="L7" s="37" t="s">
        <v>1659</v>
      </c>
      <c r="M7" s="37" t="s">
        <v>1660</v>
      </c>
      <c r="N7" s="37" t="s">
        <v>1661</v>
      </c>
      <c r="O7" s="37" t="s">
        <v>1662</v>
      </c>
      <c r="P7" s="37" t="s">
        <v>1663</v>
      </c>
      <c r="Q7" s="37" t="s">
        <v>1048</v>
      </c>
      <c r="R7" s="37" t="s">
        <v>1049</v>
      </c>
      <c r="S7" s="37" t="s">
        <v>305</v>
      </c>
      <c r="Z7" t="s">
        <v>1664</v>
      </c>
    </row>
    <row r="8" spans="1:28">
      <c r="A8" s="3" t="s">
        <v>1665</v>
      </c>
      <c r="B8" s="4">
        <v>46103</v>
      </c>
      <c r="C8" s="3" t="s">
        <v>1100</v>
      </c>
      <c r="D8" s="3" t="s">
        <v>1099</v>
      </c>
      <c r="E8" s="3" t="s">
        <v>1643</v>
      </c>
      <c r="F8" s="3" t="s">
        <v>344</v>
      </c>
      <c r="G8" s="3" t="s">
        <v>38</v>
      </c>
      <c r="H8" s="3" t="s">
        <v>1666</v>
      </c>
      <c r="I8" s="3" t="s">
        <v>1591</v>
      </c>
      <c r="J8" s="12">
        <v>45</v>
      </c>
      <c r="K8" s="9">
        <v>4000</v>
      </c>
      <c r="L8" s="13">
        <v>0.12</v>
      </c>
      <c r="M8" s="4"/>
      <c r="N8" s="4"/>
      <c r="O8" s="4"/>
      <c r="P8" s="4">
        <v>46142</v>
      </c>
      <c r="Q8" s="3" t="s">
        <v>1667</v>
      </c>
      <c r="R8" s="4">
        <v>46106</v>
      </c>
      <c r="S8" s="3" t="s">
        <v>1668</v>
      </c>
      <c r="Z8" t="s">
        <v>1669</v>
      </c>
    </row>
    <row r="9" spans="1:28">
      <c r="A9" s="3" t="s">
        <v>1670</v>
      </c>
      <c r="B9" s="4">
        <v>46091</v>
      </c>
      <c r="C9" s="3" t="s">
        <v>1140</v>
      </c>
      <c r="D9" s="3" t="s">
        <v>1139</v>
      </c>
      <c r="E9" s="3" t="s">
        <v>1649</v>
      </c>
      <c r="F9" s="3" t="s">
        <v>344</v>
      </c>
      <c r="G9" s="3" t="s">
        <v>38</v>
      </c>
      <c r="H9" s="3" t="s">
        <v>1666</v>
      </c>
      <c r="I9" s="3" t="s">
        <v>1591</v>
      </c>
      <c r="J9" s="12">
        <v>28</v>
      </c>
      <c r="K9" s="9">
        <v>2500</v>
      </c>
      <c r="L9" s="13">
        <v>0.1</v>
      </c>
      <c r="M9" s="4">
        <v>46086</v>
      </c>
      <c r="N9" s="4">
        <v>46093</v>
      </c>
      <c r="O9" s="4">
        <v>46124</v>
      </c>
      <c r="P9" s="4">
        <v>46127</v>
      </c>
      <c r="Q9" s="3" t="s">
        <v>1671</v>
      </c>
      <c r="R9" s="4">
        <v>46107</v>
      </c>
      <c r="S9" s="3" t="s">
        <v>1672</v>
      </c>
    </row>
  </sheetData>
  <mergeCells count="2">
    <mergeCell ref="A1:S1"/>
    <mergeCell ref="A2:S2"/>
  </mergeCells>
  <conditionalFormatting sqref="F8:F300">
    <cfRule type="cellIs" dxfId="246" priority="1" operator="equal">
      <formula>"Critical"</formula>
    </cfRule>
  </conditionalFormatting>
  <conditionalFormatting sqref="F8:F300">
    <cfRule type="cellIs" dxfId="245" priority="2" operator="equal">
      <formula>"High"</formula>
    </cfRule>
  </conditionalFormatting>
  <conditionalFormatting sqref="E8:E300">
    <cfRule type="cellIs" dxfId="244" priority="3" operator="equal">
      <formula>"Term Sheet"</formula>
    </cfRule>
  </conditionalFormatting>
  <conditionalFormatting sqref="E8:E300">
    <cfRule type="cellIs" dxfId="243" priority="4" operator="equal">
      <formula>"Docs Drafting"</formula>
    </cfRule>
  </conditionalFormatting>
  <dataValidations count="3">
    <dataValidation type="list" allowBlank="1" showInputMessage="1" showErrorMessage="1" sqref="E8:E300" xr:uid="{EFF8CEBA-C761-43BC-85FE-0943AEC059FC}">
      <formula1>$Z$1:$Z$8</formula1>
    </dataValidation>
    <dataValidation type="list" allowBlank="1" showInputMessage="1" showErrorMessage="1" sqref="F8:F300" xr:uid="{05CCA2F1-11B0-4D07-A364-87C336165FEA}">
      <formula1>$AA$1:$AA$4</formula1>
    </dataValidation>
    <dataValidation type="list" allowBlank="1" showInputMessage="1" showErrorMessage="1" sqref="I8:I300" xr:uid="{D1283AEB-FCB2-40FC-8F70-5384EFD7E8A5}">
      <formula1>$AB$1:$AB$4</formula1>
    </dataValidation>
  </dataValidation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18DBA-CC7C-4613-8547-464D872203A1}">
  <sheetPr>
    <tabColor rgb="FF548235"/>
  </sheetPr>
  <dimension ref="A1:Z7"/>
  <sheetViews>
    <sheetView workbookViewId="0"/>
  </sheetViews>
  <sheetFormatPr defaultRowHeight="15"/>
  <cols>
    <col min="1" max="1" width="76.140625" customWidth="1"/>
    <col min="2" max="2" width="19" customWidth="1"/>
    <col min="3" max="3" width="28.5703125" customWidth="1"/>
    <col min="4" max="4" width="17.140625" customWidth="1"/>
    <col min="5" max="5" width="24.7109375" customWidth="1"/>
    <col min="6" max="8" width="21" customWidth="1"/>
    <col min="9" max="9" width="19" customWidth="1"/>
    <col min="10" max="11" width="21" customWidth="1"/>
    <col min="12" max="12" width="24.7109375" customWidth="1"/>
    <col min="13" max="13" width="57.140625" customWidth="1"/>
    <col min="14" max="14" width="19" customWidth="1"/>
    <col min="15" max="15" width="41.85546875" customWidth="1"/>
    <col min="26" max="26" width="0" hidden="1" customWidth="1"/>
  </cols>
  <sheetData>
    <row r="1" spans="1:26" ht="21">
      <c r="A1" s="187" t="s">
        <v>1673</v>
      </c>
      <c r="B1" s="76"/>
      <c r="C1" s="76"/>
      <c r="D1" s="76"/>
      <c r="E1" s="76"/>
      <c r="F1" s="76"/>
      <c r="G1" s="76"/>
      <c r="H1" s="76"/>
      <c r="I1" s="76"/>
      <c r="J1" s="76"/>
      <c r="K1" s="76"/>
      <c r="L1" s="76"/>
      <c r="M1" s="76"/>
      <c r="N1" s="76"/>
      <c r="O1" s="76"/>
      <c r="Z1" t="s">
        <v>1664</v>
      </c>
    </row>
    <row r="2" spans="1:26">
      <c r="A2" s="207" t="s">
        <v>1674</v>
      </c>
      <c r="B2" s="218"/>
      <c r="C2" s="218"/>
      <c r="D2" s="218"/>
      <c r="E2" s="218"/>
      <c r="F2" s="218"/>
      <c r="G2" s="218"/>
      <c r="H2" s="218"/>
      <c r="I2" s="218"/>
      <c r="J2" s="218"/>
      <c r="K2" s="218"/>
      <c r="L2" s="218"/>
      <c r="M2" s="218"/>
      <c r="N2" s="218"/>
      <c r="O2" s="218"/>
      <c r="Z2" t="s">
        <v>1675</v>
      </c>
    </row>
    <row r="3" spans="1:26">
      <c r="Z3" t="s">
        <v>1676</v>
      </c>
    </row>
    <row r="4" spans="1:26">
      <c r="A4" t="s">
        <v>1123</v>
      </c>
      <c r="B4" s="2">
        <f>COUNTA(TableDealClosed[Deal ID])</f>
        <v>1</v>
      </c>
      <c r="C4" t="s">
        <v>1677</v>
      </c>
      <c r="D4" s="2">
        <f>COUNTIF(TableDealClosed[Outcome],"Wired / Closed")</f>
        <v>1</v>
      </c>
      <c r="E4" t="s">
        <v>1675</v>
      </c>
      <c r="F4" s="2">
        <f>COUNTIF(TableDealClosed[Outcome],"Dead")</f>
        <v>0</v>
      </c>
    </row>
    <row r="6" spans="1:26">
      <c r="A6" s="5" t="s">
        <v>1656</v>
      </c>
      <c r="B6" s="5" t="s">
        <v>1042</v>
      </c>
      <c r="C6" s="5" t="s">
        <v>817</v>
      </c>
      <c r="D6" s="5" t="s">
        <v>1041</v>
      </c>
      <c r="E6" s="5" t="s">
        <v>1127</v>
      </c>
      <c r="F6" s="5" t="s">
        <v>1590</v>
      </c>
      <c r="G6" s="5" t="s">
        <v>1658</v>
      </c>
      <c r="H6" s="5" t="s">
        <v>1052</v>
      </c>
      <c r="I6" s="5" t="s">
        <v>1678</v>
      </c>
      <c r="J6" s="5" t="s">
        <v>1661</v>
      </c>
      <c r="K6" s="5" t="s">
        <v>1679</v>
      </c>
      <c r="L6" s="5" t="s">
        <v>30</v>
      </c>
      <c r="M6" s="5" t="s">
        <v>1128</v>
      </c>
      <c r="N6" s="5" t="s">
        <v>28</v>
      </c>
      <c r="O6" s="5" t="s">
        <v>305</v>
      </c>
    </row>
    <row r="7" spans="1:26">
      <c r="A7" s="3" t="s">
        <v>1680</v>
      </c>
      <c r="B7" s="4">
        <v>45962</v>
      </c>
      <c r="C7" s="3" t="s">
        <v>970</v>
      </c>
      <c r="D7" s="3" t="s">
        <v>1681</v>
      </c>
      <c r="E7" s="3" t="s">
        <v>1664</v>
      </c>
      <c r="F7" s="3" t="s">
        <v>1646</v>
      </c>
      <c r="G7" s="3"/>
      <c r="H7" s="9">
        <v>750</v>
      </c>
      <c r="I7" s="13">
        <v>0</v>
      </c>
      <c r="J7" s="4">
        <v>45976</v>
      </c>
      <c r="K7" s="4">
        <v>45993</v>
      </c>
      <c r="L7" s="3" t="s">
        <v>1664</v>
      </c>
      <c r="M7" s="3" t="s">
        <v>1682</v>
      </c>
      <c r="N7" s="3" t="s">
        <v>38</v>
      </c>
      <c r="O7" s="3" t="s">
        <v>1683</v>
      </c>
    </row>
  </sheetData>
  <mergeCells count="2">
    <mergeCell ref="A1:O1"/>
    <mergeCell ref="A2:O2"/>
  </mergeCells>
  <conditionalFormatting sqref="L7:L300">
    <cfRule type="cellIs" dxfId="221" priority="1" operator="equal">
      <formula>"Wired / Closed"</formula>
    </cfRule>
  </conditionalFormatting>
  <conditionalFormatting sqref="L7:L300">
    <cfRule type="cellIs" dxfId="220" priority="2" operator="equal">
      <formula>"Dead"</formula>
    </cfRule>
  </conditionalFormatting>
  <dataValidations count="1">
    <dataValidation type="list" allowBlank="1" showInputMessage="1" showErrorMessage="1" sqref="L7:L300" xr:uid="{484E1FC6-2DC8-435B-A9BA-EE8784ABAB79}">
      <formula1>$Z$1:$Z$3</formula1>
    </dataValidation>
  </dataValidation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BACBD-9801-4413-8F32-432E16579B41}">
  <sheetPr>
    <tabColor rgb="FF535C63"/>
  </sheetPr>
  <dimension ref="A1:AB9"/>
  <sheetViews>
    <sheetView workbookViewId="0"/>
  </sheetViews>
  <sheetFormatPr defaultRowHeight="15"/>
  <cols>
    <col min="1" max="1" width="76.140625" customWidth="1"/>
    <col min="2" max="2" width="19" customWidth="1"/>
    <col min="3" max="3" width="28.5703125" customWidth="1"/>
    <col min="4" max="4" width="17.140625" customWidth="1"/>
    <col min="5" max="5" width="24.7109375" customWidth="1"/>
    <col min="6" max="6" width="72.42578125" customWidth="1"/>
    <col min="7" max="7" width="19" customWidth="1"/>
    <col min="8" max="8" width="22.85546875" customWidth="1"/>
    <col min="9" max="10" width="19" customWidth="1"/>
    <col min="11" max="11" width="45.7109375" customWidth="1"/>
    <col min="12" max="12" width="22.85546875" customWidth="1"/>
    <col min="26" max="28" width="0" hidden="1" customWidth="1"/>
  </cols>
  <sheetData>
    <row r="1" spans="1:28" ht="21">
      <c r="A1" s="191" t="s">
        <v>1684</v>
      </c>
      <c r="B1" s="80"/>
      <c r="C1" s="80"/>
      <c r="D1" s="80"/>
      <c r="E1" s="80"/>
      <c r="F1" s="80"/>
      <c r="G1" s="80"/>
      <c r="H1" s="80"/>
      <c r="I1" s="80"/>
      <c r="J1" s="80"/>
      <c r="K1" s="80"/>
      <c r="L1" s="80"/>
      <c r="Z1" t="s">
        <v>1643</v>
      </c>
      <c r="AA1" t="s">
        <v>344</v>
      </c>
      <c r="AB1" t="s">
        <v>1114</v>
      </c>
    </row>
    <row r="2" spans="1:28">
      <c r="A2" s="207" t="s">
        <v>1685</v>
      </c>
      <c r="B2" s="218"/>
      <c r="C2" s="218"/>
      <c r="D2" s="218"/>
      <c r="E2" s="218"/>
      <c r="F2" s="218"/>
      <c r="G2" s="218"/>
      <c r="H2" s="218"/>
      <c r="I2" s="218"/>
      <c r="J2" s="218"/>
      <c r="K2" s="218"/>
      <c r="L2" s="218"/>
      <c r="Z2" t="s">
        <v>1645</v>
      </c>
      <c r="AA2" t="s">
        <v>1067</v>
      </c>
      <c r="AB2" t="s">
        <v>1115</v>
      </c>
    </row>
    <row r="3" spans="1:28">
      <c r="Z3" t="s">
        <v>1647</v>
      </c>
      <c r="AA3" t="s">
        <v>1075</v>
      </c>
      <c r="AB3" t="s">
        <v>1116</v>
      </c>
    </row>
    <row r="4" spans="1:28">
      <c r="A4" t="s">
        <v>1148</v>
      </c>
      <c r="B4" s="2">
        <f>COUNTA(TableDealTasks[Task ID])</f>
        <v>3</v>
      </c>
      <c r="C4" t="s">
        <v>1149</v>
      </c>
      <c r="D4" s="2">
        <f>COUNTIFS(TableDealTasks[Priority],"Critical")+COUNTIFS(TableDealTasks[Priority],"High")</f>
        <v>3</v>
      </c>
      <c r="E4" t="s">
        <v>1116</v>
      </c>
      <c r="F4" s="2">
        <f>COUNTIF(TableDealTasks[Status],"Blocked")</f>
        <v>0</v>
      </c>
      <c r="Z4" t="s">
        <v>1649</v>
      </c>
      <c r="AA4" t="s">
        <v>1089</v>
      </c>
      <c r="AB4" t="s">
        <v>1117</v>
      </c>
    </row>
    <row r="5" spans="1:28">
      <c r="Z5" t="s">
        <v>1654</v>
      </c>
      <c r="AB5" t="s">
        <v>228</v>
      </c>
    </row>
    <row r="6" spans="1:28">
      <c r="A6" s="37" t="s">
        <v>1150</v>
      </c>
      <c r="B6" s="37" t="s">
        <v>1042</v>
      </c>
      <c r="C6" s="37" t="s">
        <v>817</v>
      </c>
      <c r="D6" s="37" t="s">
        <v>1656</v>
      </c>
      <c r="E6" s="37" t="s">
        <v>1151</v>
      </c>
      <c r="F6" s="37" t="s">
        <v>1152</v>
      </c>
      <c r="G6" s="37" t="s">
        <v>1047</v>
      </c>
      <c r="H6" s="37" t="s">
        <v>279</v>
      </c>
      <c r="I6" s="37" t="s">
        <v>28</v>
      </c>
      <c r="J6" s="37" t="s">
        <v>1153</v>
      </c>
      <c r="K6" s="37" t="s">
        <v>305</v>
      </c>
      <c r="L6" s="37" t="s">
        <v>1154</v>
      </c>
      <c r="M6" s="37"/>
      <c r="N6" s="37"/>
      <c r="Z6" t="s">
        <v>1655</v>
      </c>
    </row>
    <row r="7" spans="1:28">
      <c r="A7" s="3" t="s">
        <v>1686</v>
      </c>
      <c r="B7" s="4">
        <v>46103</v>
      </c>
      <c r="C7" s="3" t="s">
        <v>1100</v>
      </c>
      <c r="D7" s="3" t="s">
        <v>1665</v>
      </c>
      <c r="E7" s="3" t="s">
        <v>1645</v>
      </c>
      <c r="F7" s="3" t="s">
        <v>1687</v>
      </c>
      <c r="G7" s="3" t="s">
        <v>344</v>
      </c>
      <c r="H7" s="3" t="s">
        <v>1115</v>
      </c>
      <c r="I7" s="3" t="s">
        <v>38</v>
      </c>
      <c r="J7" s="4">
        <v>46106</v>
      </c>
      <c r="K7" s="3" t="s">
        <v>1688</v>
      </c>
      <c r="L7" s="3"/>
      <c r="Z7" t="s">
        <v>1664</v>
      </c>
    </row>
    <row r="8" spans="1:28">
      <c r="A8" s="3" t="s">
        <v>1689</v>
      </c>
      <c r="B8" s="4">
        <v>46095</v>
      </c>
      <c r="C8" s="3" t="s">
        <v>1140</v>
      </c>
      <c r="D8" s="3" t="s">
        <v>1670</v>
      </c>
      <c r="E8" s="3" t="s">
        <v>1649</v>
      </c>
      <c r="F8" s="3" t="s">
        <v>1690</v>
      </c>
      <c r="G8" s="3" t="s">
        <v>344</v>
      </c>
      <c r="H8" s="3" t="s">
        <v>1115</v>
      </c>
      <c r="I8" s="3" t="s">
        <v>1325</v>
      </c>
      <c r="J8" s="4">
        <v>46107</v>
      </c>
      <c r="K8" s="3" t="s">
        <v>1691</v>
      </c>
      <c r="L8" s="3"/>
      <c r="Z8" t="s">
        <v>1669</v>
      </c>
    </row>
    <row r="9" spans="1:28">
      <c r="A9" s="3" t="s">
        <v>1692</v>
      </c>
      <c r="B9" s="4">
        <v>46095</v>
      </c>
      <c r="C9" s="3" t="s">
        <v>1140</v>
      </c>
      <c r="D9" s="3" t="s">
        <v>1670</v>
      </c>
      <c r="E9" s="3" t="s">
        <v>1649</v>
      </c>
      <c r="F9" s="3" t="s">
        <v>1693</v>
      </c>
      <c r="G9" s="3" t="s">
        <v>1067</v>
      </c>
      <c r="H9" s="3" t="s">
        <v>1114</v>
      </c>
      <c r="I9" s="3" t="s">
        <v>1325</v>
      </c>
      <c r="J9" s="4">
        <v>46109</v>
      </c>
      <c r="K9" s="3"/>
      <c r="L9" s="3"/>
    </row>
  </sheetData>
  <mergeCells count="2">
    <mergeCell ref="A1:L1"/>
    <mergeCell ref="A2:L2"/>
  </mergeCells>
  <conditionalFormatting sqref="G7:G300">
    <cfRule type="cellIs" dxfId="202" priority="1" operator="equal">
      <formula>"Critical"</formula>
    </cfRule>
  </conditionalFormatting>
  <conditionalFormatting sqref="G7:G300">
    <cfRule type="cellIs" dxfId="201" priority="2" operator="equal">
      <formula>"High"</formula>
    </cfRule>
  </conditionalFormatting>
  <conditionalFormatting sqref="H7:H300">
    <cfRule type="cellIs" dxfId="200" priority="3" operator="equal">
      <formula>"In Progress"</formula>
    </cfRule>
  </conditionalFormatting>
  <conditionalFormatting sqref="H7:H300">
    <cfRule type="cellIs" dxfId="199" priority="4" operator="equal">
      <formula>"Blocked"</formula>
    </cfRule>
  </conditionalFormatting>
  <dataValidations count="3">
    <dataValidation type="list" allowBlank="1" showInputMessage="1" showErrorMessage="1" sqref="E7:E300" xr:uid="{02D407C5-64BD-4AAF-88EB-1BB0EDA1F297}">
      <formula1>$Z$1:$Z$8</formula1>
    </dataValidation>
    <dataValidation type="list" allowBlank="1" showInputMessage="1" showErrorMessage="1" sqref="G7:G300" xr:uid="{042327F8-1866-4F72-AE21-D43477C0FF51}">
      <formula1>$AA$1:$AA$4</formula1>
    </dataValidation>
    <dataValidation type="list" allowBlank="1" showInputMessage="1" showErrorMessage="1" sqref="H7:H300" xr:uid="{1B428FA7-9FE3-493A-86A2-3424633D6D75}">
      <formula1>$AB$1:$AB$5</formula1>
    </dataValidation>
  </dataValidation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6730C-04A9-43B6-AEDB-9B8EFE05FD53}">
  <sheetPr>
    <tabColor rgb="FF548235"/>
  </sheetPr>
  <dimension ref="A1:N7"/>
  <sheetViews>
    <sheetView workbookViewId="0"/>
  </sheetViews>
  <sheetFormatPr defaultRowHeight="15"/>
  <cols>
    <col min="1" max="1" width="76.140625" customWidth="1"/>
    <col min="2" max="2" width="11.140625" bestFit="1" customWidth="1"/>
    <col min="3" max="3" width="28.5703125" customWidth="1"/>
    <col min="5" max="5" width="22.85546875" customWidth="1"/>
    <col min="6" max="6" width="64.7109375" customWidth="1"/>
    <col min="8" max="8" width="19" customWidth="1"/>
    <col min="10" max="10" width="11.140625" bestFit="1" customWidth="1"/>
    <col min="11" max="11" width="34.28515625" customWidth="1"/>
    <col min="12" max="13" width="22.85546875" customWidth="1"/>
    <col min="14" max="14" width="21" customWidth="1"/>
  </cols>
  <sheetData>
    <row r="1" spans="1:14" ht="21">
      <c r="A1" s="187" t="s">
        <v>1694</v>
      </c>
      <c r="B1" s="76"/>
      <c r="C1" s="76"/>
      <c r="D1" s="76"/>
      <c r="E1" s="76"/>
      <c r="F1" s="76"/>
      <c r="G1" s="76"/>
      <c r="H1" s="76"/>
      <c r="I1" s="76"/>
      <c r="J1" s="76"/>
      <c r="K1" s="76"/>
      <c r="L1" s="76"/>
      <c r="M1" s="76"/>
      <c r="N1" s="76"/>
    </row>
    <row r="2" spans="1:14">
      <c r="A2" s="207" t="s">
        <v>1695</v>
      </c>
      <c r="B2" s="218"/>
      <c r="C2" s="218"/>
      <c r="D2" s="218"/>
      <c r="E2" s="218"/>
      <c r="F2" s="218"/>
      <c r="G2" s="218"/>
      <c r="H2" s="218"/>
      <c r="I2" s="218"/>
      <c r="J2" s="218"/>
      <c r="K2" s="218"/>
      <c r="L2" s="218"/>
      <c r="M2" s="218"/>
      <c r="N2" s="218"/>
    </row>
    <row r="4" spans="1:14">
      <c r="A4" t="s">
        <v>1169</v>
      </c>
      <c r="B4" s="2">
        <f>COUNTA(TableDealTasksDone[Task ID])</f>
        <v>1</v>
      </c>
    </row>
    <row r="6" spans="1:14">
      <c r="A6" s="5" t="s">
        <v>1150</v>
      </c>
      <c r="B6" s="5" t="s">
        <v>1042</v>
      </c>
      <c r="C6" s="5" t="s">
        <v>817</v>
      </c>
      <c r="D6" s="5" t="s">
        <v>1656</v>
      </c>
      <c r="E6" s="5" t="s">
        <v>1151</v>
      </c>
      <c r="F6" s="5" t="s">
        <v>1152</v>
      </c>
      <c r="G6" s="5" t="s">
        <v>1047</v>
      </c>
      <c r="H6" s="5" t="s">
        <v>279</v>
      </c>
      <c r="I6" s="5" t="s">
        <v>28</v>
      </c>
      <c r="J6" s="5" t="s">
        <v>1153</v>
      </c>
      <c r="K6" s="5" t="s">
        <v>305</v>
      </c>
      <c r="L6" s="5" t="s">
        <v>1154</v>
      </c>
      <c r="M6" s="5" t="s">
        <v>1170</v>
      </c>
      <c r="N6" s="5" t="s">
        <v>1171</v>
      </c>
    </row>
    <row r="7" spans="1:14">
      <c r="A7" s="3" t="s">
        <v>1696</v>
      </c>
      <c r="B7" s="4">
        <v>46091</v>
      </c>
      <c r="C7" s="3" t="s">
        <v>1140</v>
      </c>
      <c r="D7" s="3" t="s">
        <v>1670</v>
      </c>
      <c r="E7" s="3" t="s">
        <v>1645</v>
      </c>
      <c r="F7" s="3" t="s">
        <v>1697</v>
      </c>
      <c r="G7" s="3" t="s">
        <v>344</v>
      </c>
      <c r="H7" s="3" t="s">
        <v>228</v>
      </c>
      <c r="I7" s="3" t="s">
        <v>38</v>
      </c>
      <c r="J7" s="4">
        <v>46093</v>
      </c>
      <c r="K7" s="3" t="s">
        <v>1698</v>
      </c>
      <c r="L7" s="3"/>
      <c r="M7" s="4">
        <v>46093</v>
      </c>
      <c r="N7" s="3" t="s">
        <v>38</v>
      </c>
    </row>
  </sheetData>
  <mergeCells count="2">
    <mergeCell ref="A1:N1"/>
    <mergeCell ref="A2:N2"/>
  </mergeCell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527F7-B426-4B59-851C-2141E6643685}">
  <sheetPr>
    <tabColor rgb="FF535C63"/>
  </sheetPr>
  <dimension ref="A1:H36"/>
  <sheetViews>
    <sheetView workbookViewId="0"/>
  </sheetViews>
  <sheetFormatPr defaultRowHeight="15"/>
  <cols>
    <col min="1" max="1" width="68.5703125" customWidth="1"/>
    <col min="2" max="2" width="26.7109375" customWidth="1"/>
    <col min="3" max="3" width="76.140625" customWidth="1"/>
    <col min="4" max="4" width="22.85546875" customWidth="1"/>
    <col min="5" max="5" width="21" customWidth="1"/>
    <col min="6" max="6" width="64.7109375" customWidth="1"/>
  </cols>
  <sheetData>
    <row r="1" spans="1:8" ht="21">
      <c r="A1" s="191" t="s">
        <v>1699</v>
      </c>
      <c r="B1" s="80"/>
      <c r="C1" s="80"/>
      <c r="D1" s="80"/>
      <c r="E1" s="80"/>
      <c r="F1" s="80"/>
    </row>
    <row r="2" spans="1:8">
      <c r="A2" s="207" t="s">
        <v>1700</v>
      </c>
      <c r="B2" s="218"/>
      <c r="C2" s="218"/>
      <c r="D2" s="218"/>
      <c r="E2" s="218"/>
      <c r="F2" s="218"/>
    </row>
    <row r="4" spans="1:8">
      <c r="A4" s="37" t="s">
        <v>1176</v>
      </c>
      <c r="B4" s="37" t="s">
        <v>1151</v>
      </c>
      <c r="C4" s="37" t="s">
        <v>1152</v>
      </c>
      <c r="D4" s="37" t="s">
        <v>1177</v>
      </c>
      <c r="E4" s="37" t="s">
        <v>1178</v>
      </c>
      <c r="F4" s="37" t="s">
        <v>1179</v>
      </c>
    </row>
    <row r="5" spans="1:8">
      <c r="A5" s="37" t="s">
        <v>1701</v>
      </c>
      <c r="B5" s="37" t="s">
        <v>1643</v>
      </c>
      <c r="C5" s="196" t="s">
        <v>1702</v>
      </c>
      <c r="D5" s="196" t="s">
        <v>344</v>
      </c>
      <c r="E5" s="196" t="s">
        <v>38</v>
      </c>
      <c r="F5" s="196" t="s">
        <v>1703</v>
      </c>
      <c r="G5" s="37"/>
      <c r="H5" s="37"/>
    </row>
    <row r="6" spans="1:8">
      <c r="A6" t="s">
        <v>1704</v>
      </c>
      <c r="B6" t="s">
        <v>1643</v>
      </c>
      <c r="C6" s="6" t="s">
        <v>1705</v>
      </c>
      <c r="D6" s="6" t="s">
        <v>344</v>
      </c>
      <c r="E6" s="6" t="s">
        <v>38</v>
      </c>
      <c r="F6" s="6" t="s">
        <v>1706</v>
      </c>
    </row>
    <row r="7" spans="1:8">
      <c r="A7" t="s">
        <v>1707</v>
      </c>
      <c r="B7" t="s">
        <v>1643</v>
      </c>
      <c r="C7" s="6" t="s">
        <v>1708</v>
      </c>
      <c r="D7" s="6" t="s">
        <v>344</v>
      </c>
      <c r="E7" s="6" t="s">
        <v>33</v>
      </c>
      <c r="F7" s="6" t="s">
        <v>1709</v>
      </c>
    </row>
    <row r="8" spans="1:8">
      <c r="A8" t="s">
        <v>1710</v>
      </c>
      <c r="B8" t="s">
        <v>1643</v>
      </c>
      <c r="C8" s="6" t="s">
        <v>1711</v>
      </c>
      <c r="D8" s="6" t="s">
        <v>1067</v>
      </c>
      <c r="E8" s="6" t="s">
        <v>38</v>
      </c>
      <c r="F8" s="6" t="s">
        <v>1712</v>
      </c>
    </row>
    <row r="9" spans="1:8">
      <c r="A9" t="s">
        <v>1713</v>
      </c>
      <c r="B9" t="s">
        <v>1645</v>
      </c>
      <c r="C9" s="6" t="s">
        <v>1687</v>
      </c>
      <c r="D9" s="6" t="s">
        <v>344</v>
      </c>
      <c r="E9" s="6" t="s">
        <v>38</v>
      </c>
      <c r="F9" s="6" t="s">
        <v>1714</v>
      </c>
    </row>
    <row r="10" spans="1:8">
      <c r="A10" t="s">
        <v>1715</v>
      </c>
      <c r="B10" t="s">
        <v>1645</v>
      </c>
      <c r="C10" s="6" t="s">
        <v>1716</v>
      </c>
      <c r="D10" s="6" t="s">
        <v>344</v>
      </c>
      <c r="E10" s="6" t="s">
        <v>38</v>
      </c>
      <c r="F10" s="6" t="s">
        <v>1717</v>
      </c>
    </row>
    <row r="11" spans="1:8">
      <c r="A11" t="s">
        <v>1718</v>
      </c>
      <c r="B11" t="s">
        <v>1645</v>
      </c>
      <c r="C11" s="6" t="s">
        <v>1719</v>
      </c>
      <c r="D11" s="6" t="s">
        <v>344</v>
      </c>
      <c r="E11" s="6" t="s">
        <v>38</v>
      </c>
      <c r="F11" s="6" t="s">
        <v>1720</v>
      </c>
    </row>
    <row r="12" spans="1:8">
      <c r="A12" t="s">
        <v>1721</v>
      </c>
      <c r="B12" t="s">
        <v>1645</v>
      </c>
      <c r="C12" s="6" t="s">
        <v>1722</v>
      </c>
      <c r="D12" s="6" t="s">
        <v>344</v>
      </c>
      <c r="E12" s="6" t="s">
        <v>38</v>
      </c>
      <c r="F12" s="6" t="s">
        <v>1723</v>
      </c>
    </row>
    <row r="13" spans="1:8">
      <c r="A13" t="s">
        <v>1724</v>
      </c>
      <c r="B13" t="s">
        <v>1645</v>
      </c>
      <c r="C13" s="6" t="s">
        <v>1725</v>
      </c>
      <c r="D13" s="6" t="s">
        <v>344</v>
      </c>
      <c r="E13" s="6" t="s">
        <v>38</v>
      </c>
      <c r="F13" s="6" t="s">
        <v>1726</v>
      </c>
    </row>
    <row r="14" spans="1:8">
      <c r="A14" t="s">
        <v>1727</v>
      </c>
      <c r="B14" t="s">
        <v>1645</v>
      </c>
      <c r="C14" s="6" t="s">
        <v>1728</v>
      </c>
      <c r="D14" s="6" t="s">
        <v>1067</v>
      </c>
      <c r="E14" s="6" t="s">
        <v>33</v>
      </c>
      <c r="F14" s="6" t="s">
        <v>1729</v>
      </c>
    </row>
    <row r="15" spans="1:8">
      <c r="A15" t="s">
        <v>1730</v>
      </c>
      <c r="B15" t="s">
        <v>1647</v>
      </c>
      <c r="C15" s="6" t="s">
        <v>1731</v>
      </c>
      <c r="D15" s="6" t="s">
        <v>344</v>
      </c>
      <c r="E15" s="6" t="s">
        <v>1325</v>
      </c>
      <c r="F15" s="6" t="s">
        <v>1732</v>
      </c>
    </row>
    <row r="16" spans="1:8">
      <c r="A16" t="s">
        <v>1733</v>
      </c>
      <c r="B16" t="s">
        <v>1647</v>
      </c>
      <c r="C16" s="6" t="s">
        <v>1734</v>
      </c>
      <c r="D16" s="6" t="s">
        <v>344</v>
      </c>
      <c r="E16" s="6" t="s">
        <v>33</v>
      </c>
      <c r="F16" s="6" t="s">
        <v>1735</v>
      </c>
    </row>
    <row r="17" spans="1:6">
      <c r="A17" t="s">
        <v>1736</v>
      </c>
      <c r="B17" t="s">
        <v>1647</v>
      </c>
      <c r="C17" s="6" t="s">
        <v>1737</v>
      </c>
      <c r="D17" s="6" t="s">
        <v>1067</v>
      </c>
      <c r="E17" s="6" t="s">
        <v>1325</v>
      </c>
      <c r="F17" s="6" t="s">
        <v>1738</v>
      </c>
    </row>
    <row r="18" spans="1:6">
      <c r="A18" t="s">
        <v>1739</v>
      </c>
      <c r="B18" t="s">
        <v>1647</v>
      </c>
      <c r="C18" s="6" t="s">
        <v>1740</v>
      </c>
      <c r="D18" s="6" t="s">
        <v>344</v>
      </c>
      <c r="E18" s="6" t="s">
        <v>38</v>
      </c>
      <c r="F18" s="6" t="s">
        <v>1741</v>
      </c>
    </row>
    <row r="19" spans="1:6">
      <c r="A19" t="s">
        <v>1742</v>
      </c>
      <c r="B19" t="s">
        <v>1649</v>
      </c>
      <c r="C19" s="6" t="s">
        <v>1743</v>
      </c>
      <c r="D19" s="6" t="s">
        <v>344</v>
      </c>
      <c r="E19" s="6" t="s">
        <v>1325</v>
      </c>
      <c r="F19" s="6" t="s">
        <v>1744</v>
      </c>
    </row>
    <row r="20" spans="1:6">
      <c r="A20" t="s">
        <v>1745</v>
      </c>
      <c r="B20" t="s">
        <v>1649</v>
      </c>
      <c r="C20" s="6" t="s">
        <v>1746</v>
      </c>
      <c r="D20" s="6" t="s">
        <v>344</v>
      </c>
      <c r="E20" s="6" t="s">
        <v>1325</v>
      </c>
      <c r="F20" s="6" t="s">
        <v>1747</v>
      </c>
    </row>
    <row r="21" spans="1:6">
      <c r="A21" t="s">
        <v>1748</v>
      </c>
      <c r="B21" t="s">
        <v>1649</v>
      </c>
      <c r="C21" s="6" t="s">
        <v>1693</v>
      </c>
      <c r="D21" s="6" t="s">
        <v>1067</v>
      </c>
      <c r="E21" s="6" t="s">
        <v>1325</v>
      </c>
      <c r="F21" s="6" t="s">
        <v>1749</v>
      </c>
    </row>
    <row r="22" spans="1:6">
      <c r="A22" t="s">
        <v>1750</v>
      </c>
      <c r="B22" t="s">
        <v>1649</v>
      </c>
      <c r="C22" s="6" t="s">
        <v>1751</v>
      </c>
      <c r="D22" s="6" t="s">
        <v>344</v>
      </c>
      <c r="E22" s="6" t="s">
        <v>1325</v>
      </c>
      <c r="F22" s="6" t="s">
        <v>1752</v>
      </c>
    </row>
    <row r="23" spans="1:6">
      <c r="A23" t="s">
        <v>1753</v>
      </c>
      <c r="B23" t="s">
        <v>1649</v>
      </c>
      <c r="C23" s="6" t="s">
        <v>1754</v>
      </c>
      <c r="D23" s="6" t="s">
        <v>1067</v>
      </c>
      <c r="E23" s="6" t="s">
        <v>1325</v>
      </c>
      <c r="F23" s="6" t="s">
        <v>1755</v>
      </c>
    </row>
    <row r="24" spans="1:6">
      <c r="A24" t="s">
        <v>1756</v>
      </c>
      <c r="B24" t="s">
        <v>1654</v>
      </c>
      <c r="C24" s="6" t="s">
        <v>1757</v>
      </c>
      <c r="D24" s="6" t="s">
        <v>344</v>
      </c>
      <c r="E24" s="6" t="s">
        <v>1325</v>
      </c>
      <c r="F24" s="6" t="s">
        <v>1758</v>
      </c>
    </row>
    <row r="25" spans="1:6">
      <c r="A25" t="s">
        <v>1759</v>
      </c>
      <c r="B25" t="s">
        <v>1654</v>
      </c>
      <c r="C25" s="6" t="s">
        <v>1760</v>
      </c>
      <c r="D25" s="6" t="s">
        <v>344</v>
      </c>
      <c r="E25" s="6" t="s">
        <v>38</v>
      </c>
      <c r="F25" s="6" t="s">
        <v>1761</v>
      </c>
    </row>
    <row r="26" spans="1:6">
      <c r="A26" t="s">
        <v>1762</v>
      </c>
      <c r="B26" t="s">
        <v>1654</v>
      </c>
      <c r="C26" s="6" t="s">
        <v>1763</v>
      </c>
      <c r="D26" s="6" t="s">
        <v>344</v>
      </c>
      <c r="E26" s="6" t="s">
        <v>1764</v>
      </c>
      <c r="F26" s="6" t="s">
        <v>1765</v>
      </c>
    </row>
    <row r="27" spans="1:6">
      <c r="A27" t="s">
        <v>1766</v>
      </c>
      <c r="B27" t="s">
        <v>1655</v>
      </c>
      <c r="C27" s="6" t="s">
        <v>1767</v>
      </c>
      <c r="D27" s="6" t="s">
        <v>344</v>
      </c>
      <c r="E27" s="6" t="s">
        <v>1325</v>
      </c>
      <c r="F27" s="6" t="s">
        <v>1768</v>
      </c>
    </row>
    <row r="28" spans="1:6">
      <c r="A28" t="s">
        <v>1769</v>
      </c>
      <c r="B28" t="s">
        <v>1655</v>
      </c>
      <c r="C28" s="6" t="s">
        <v>1770</v>
      </c>
      <c r="D28" s="6" t="s">
        <v>1067</v>
      </c>
      <c r="E28" s="6" t="s">
        <v>1325</v>
      </c>
      <c r="F28" s="6" t="s">
        <v>1771</v>
      </c>
    </row>
    <row r="29" spans="1:6">
      <c r="A29" t="s">
        <v>1772</v>
      </c>
      <c r="B29" t="s">
        <v>1655</v>
      </c>
      <c r="C29" s="6" t="s">
        <v>1773</v>
      </c>
      <c r="D29" s="6" t="s">
        <v>344</v>
      </c>
      <c r="E29" s="6" t="s">
        <v>33</v>
      </c>
      <c r="F29" s="6" t="s">
        <v>1774</v>
      </c>
    </row>
    <row r="30" spans="1:6">
      <c r="A30" t="s">
        <v>1775</v>
      </c>
      <c r="B30" t="s">
        <v>1664</v>
      </c>
      <c r="C30" s="6" t="s">
        <v>1776</v>
      </c>
      <c r="D30" s="6" t="s">
        <v>344</v>
      </c>
      <c r="E30" s="6" t="s">
        <v>1325</v>
      </c>
      <c r="F30" s="6" t="s">
        <v>1777</v>
      </c>
    </row>
    <row r="31" spans="1:6">
      <c r="A31" t="s">
        <v>1778</v>
      </c>
      <c r="B31" t="s">
        <v>1664</v>
      </c>
      <c r="C31" s="6" t="s">
        <v>1779</v>
      </c>
      <c r="D31" s="6" t="s">
        <v>344</v>
      </c>
      <c r="E31" s="6" t="s">
        <v>1764</v>
      </c>
      <c r="F31" s="6" t="s">
        <v>1780</v>
      </c>
    </row>
    <row r="32" spans="1:6">
      <c r="A32" t="s">
        <v>1781</v>
      </c>
      <c r="B32" t="s">
        <v>1664</v>
      </c>
      <c r="C32" s="6" t="s">
        <v>1782</v>
      </c>
      <c r="D32" s="6" t="s">
        <v>344</v>
      </c>
      <c r="E32" s="6" t="s">
        <v>33</v>
      </c>
      <c r="F32" s="6" t="s">
        <v>1783</v>
      </c>
    </row>
    <row r="33" spans="1:6">
      <c r="A33" t="s">
        <v>1784</v>
      </c>
      <c r="B33" t="s">
        <v>1669</v>
      </c>
      <c r="C33" s="6" t="s">
        <v>1785</v>
      </c>
      <c r="D33" s="6" t="s">
        <v>1067</v>
      </c>
      <c r="E33" s="6" t="s">
        <v>1764</v>
      </c>
      <c r="F33" s="6" t="s">
        <v>1786</v>
      </c>
    </row>
    <row r="34" spans="1:6">
      <c r="A34" t="s">
        <v>1787</v>
      </c>
      <c r="B34" t="s">
        <v>1669</v>
      </c>
      <c r="C34" s="6" t="s">
        <v>1788</v>
      </c>
      <c r="D34" s="6" t="s">
        <v>1067</v>
      </c>
      <c r="E34" s="6" t="s">
        <v>38</v>
      </c>
      <c r="F34" s="6" t="s">
        <v>1789</v>
      </c>
    </row>
    <row r="35" spans="1:6">
      <c r="A35" t="s">
        <v>1790</v>
      </c>
      <c r="B35" t="s">
        <v>1669</v>
      </c>
      <c r="C35" s="6" t="s">
        <v>1791</v>
      </c>
      <c r="D35" s="6" t="s">
        <v>1067</v>
      </c>
      <c r="E35" s="6" t="s">
        <v>38</v>
      </c>
      <c r="F35" s="6" t="s">
        <v>1792</v>
      </c>
    </row>
    <row r="36" spans="1:6">
      <c r="A36" t="s">
        <v>1793</v>
      </c>
      <c r="B36" t="s">
        <v>1669</v>
      </c>
      <c r="C36" s="6" t="s">
        <v>1794</v>
      </c>
      <c r="D36" s="6" t="s">
        <v>1075</v>
      </c>
      <c r="E36" s="6" t="s">
        <v>33</v>
      </c>
      <c r="F36" s="6" t="s">
        <v>1795</v>
      </c>
    </row>
  </sheetData>
  <mergeCells count="2">
    <mergeCell ref="A1:F1"/>
    <mergeCell ref="A2:F2"/>
  </mergeCell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F18ED-B2E6-465F-BE84-35D17EF2EBBF}">
  <sheetPr>
    <tabColor rgb="FF7C7871"/>
  </sheetPr>
  <dimension ref="A1:B26"/>
  <sheetViews>
    <sheetView workbookViewId="0">
      <selection sqref="A1:B1"/>
    </sheetView>
  </sheetViews>
  <sheetFormatPr defaultRowHeight="15"/>
  <cols>
    <col min="1" max="1" width="80" customWidth="1"/>
    <col min="2" max="2" width="53.28515625" customWidth="1"/>
  </cols>
  <sheetData>
    <row r="1" spans="1:2" ht="21">
      <c r="A1" s="188" t="s">
        <v>1796</v>
      </c>
      <c r="B1" s="80"/>
    </row>
    <row r="2" spans="1:2">
      <c r="A2" s="107"/>
    </row>
    <row r="3" spans="1:2" ht="15.75">
      <c r="A3" s="14" t="s">
        <v>496</v>
      </c>
    </row>
    <row r="4" spans="1:2">
      <c r="A4" s="6" t="s">
        <v>1797</v>
      </c>
    </row>
    <row r="5" spans="1:2">
      <c r="A5" s="6"/>
    </row>
    <row r="6" spans="1:2" ht="16.5">
      <c r="A6" s="21" t="s">
        <v>1269</v>
      </c>
    </row>
    <row r="7" spans="1:2">
      <c r="A7" s="6" t="s">
        <v>1798</v>
      </c>
    </row>
    <row r="8" spans="1:2">
      <c r="A8" s="6" t="s">
        <v>1799</v>
      </c>
    </row>
    <row r="9" spans="1:2">
      <c r="A9" s="6" t="s">
        <v>1800</v>
      </c>
    </row>
    <row r="10" spans="1:2">
      <c r="A10" s="6" t="s">
        <v>1801</v>
      </c>
    </row>
    <row r="11" spans="1:2">
      <c r="A11" s="6"/>
    </row>
    <row r="12" spans="1:2" ht="16.5">
      <c r="A12" s="21" t="s">
        <v>1802</v>
      </c>
    </row>
    <row r="13" spans="1:2">
      <c r="A13" s="6" t="s">
        <v>1803</v>
      </c>
    </row>
    <row r="14" spans="1:2">
      <c r="A14" s="6"/>
    </row>
    <row r="15" spans="1:2" ht="16.5">
      <c r="A15" s="21" t="s">
        <v>535</v>
      </c>
    </row>
    <row r="16" spans="1:2">
      <c r="A16" s="6" t="s">
        <v>1804</v>
      </c>
    </row>
    <row r="17" spans="1:2">
      <c r="A17" s="6" t="s">
        <v>1805</v>
      </c>
    </row>
    <row r="18" spans="1:2">
      <c r="A18" s="6" t="s">
        <v>1806</v>
      </c>
    </row>
    <row r="19" spans="1:2">
      <c r="A19" s="6" t="s">
        <v>1807</v>
      </c>
    </row>
    <row r="20" spans="1:2">
      <c r="A20" s="6" t="s">
        <v>1808</v>
      </c>
    </row>
    <row r="21" spans="1:2">
      <c r="A21" s="6" t="s">
        <v>1809</v>
      </c>
    </row>
    <row r="22" spans="1:2">
      <c r="A22" s="6"/>
    </row>
    <row r="23" spans="1:2" ht="16.5">
      <c r="A23" s="21" t="s">
        <v>1810</v>
      </c>
    </row>
    <row r="24" spans="1:2">
      <c r="A24" s="6" t="s">
        <v>1811</v>
      </c>
    </row>
    <row r="26" spans="1:2">
      <c r="A26" s="2" t="s">
        <v>1302</v>
      </c>
      <c r="B26" t="s">
        <v>1812</v>
      </c>
    </row>
  </sheetData>
  <mergeCells count="1">
    <mergeCell ref="A1:B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570AD-291D-4EDE-BEBE-F72AC49AA11A}">
  <sheetPr>
    <tabColor rgb="FF4A5568"/>
  </sheetPr>
  <dimension ref="A1:AC9"/>
  <sheetViews>
    <sheetView workbookViewId="0"/>
  </sheetViews>
  <sheetFormatPr defaultRowHeight="15"/>
  <cols>
    <col min="2" max="2" width="11.140625" bestFit="1" customWidth="1"/>
    <col min="15" max="16" width="11.140625" bestFit="1" customWidth="1"/>
    <col min="26" max="29" width="0" hidden="1" customWidth="1"/>
  </cols>
  <sheetData>
    <row r="1" spans="1:29" ht="21">
      <c r="A1" s="192" t="s">
        <v>1813</v>
      </c>
      <c r="B1" s="81"/>
      <c r="C1" s="81"/>
      <c r="D1" s="81"/>
      <c r="E1" s="81"/>
      <c r="F1" s="81"/>
      <c r="G1" s="81"/>
      <c r="H1" s="81"/>
      <c r="I1" s="81"/>
      <c r="J1" s="81"/>
      <c r="K1" s="81"/>
      <c r="L1" s="81"/>
      <c r="M1" s="81"/>
      <c r="N1" s="81"/>
      <c r="O1" s="81"/>
      <c r="P1" s="81"/>
      <c r="Q1" s="81"/>
      <c r="R1" s="81"/>
      <c r="Z1" t="s">
        <v>1031</v>
      </c>
      <c r="AA1" t="s">
        <v>344</v>
      </c>
      <c r="AB1" t="s">
        <v>1814</v>
      </c>
      <c r="AC1" t="s">
        <v>1063</v>
      </c>
    </row>
    <row r="2" spans="1:29">
      <c r="A2" s="207" t="s">
        <v>1815</v>
      </c>
      <c r="B2" s="205"/>
      <c r="C2" s="205"/>
      <c r="D2" s="205"/>
      <c r="E2" s="205"/>
      <c r="F2" s="205"/>
      <c r="G2" s="205"/>
      <c r="H2" s="205"/>
      <c r="I2" s="205"/>
      <c r="J2" s="205"/>
      <c r="K2" s="205"/>
      <c r="L2" s="205"/>
      <c r="M2" s="205"/>
      <c r="N2" s="205"/>
      <c r="O2" s="205"/>
      <c r="P2" s="205"/>
      <c r="Q2" s="205"/>
      <c r="R2" s="205"/>
      <c r="Z2" t="s">
        <v>1816</v>
      </c>
      <c r="AA2" t="s">
        <v>1067</v>
      </c>
      <c r="AB2" t="s">
        <v>1817</v>
      </c>
      <c r="AC2" t="s">
        <v>1075</v>
      </c>
    </row>
    <row r="3" spans="1:29">
      <c r="Z3" t="s">
        <v>1818</v>
      </c>
      <c r="AA3" t="s">
        <v>1075</v>
      </c>
      <c r="AB3" t="s">
        <v>1819</v>
      </c>
      <c r="AC3" t="s">
        <v>1110</v>
      </c>
    </row>
    <row r="4" spans="1:29">
      <c r="A4" t="s">
        <v>1820</v>
      </c>
      <c r="B4" s="2">
        <f>COUNTA(TableMAPipeline[MA ID])</f>
        <v>2</v>
      </c>
      <c r="C4" t="s">
        <v>1821</v>
      </c>
      <c r="D4" s="2">
        <f>COUNTIF(TableMAPipeline[MA Stage],"LOI / Exclusivity")</f>
        <v>1</v>
      </c>
      <c r="E4" t="s">
        <v>1822</v>
      </c>
      <c r="F4" s="2">
        <f>COUNTIF(TableMAPipeline[MA Stage],"IOI / Indication")+COUNTIF(TableMAPipeline[MA Stage],"LOI / Exclusivity")</f>
        <v>1</v>
      </c>
      <c r="Z4" t="s">
        <v>1823</v>
      </c>
      <c r="AA4" t="s">
        <v>1089</v>
      </c>
      <c r="AB4" t="s">
        <v>1824</v>
      </c>
      <c r="AC4" t="s">
        <v>1086</v>
      </c>
    </row>
    <row r="5" spans="1:29">
      <c r="Z5" t="s">
        <v>1825</v>
      </c>
      <c r="AB5" t="s">
        <v>1109</v>
      </c>
    </row>
    <row r="6" spans="1:29">
      <c r="A6" s="60" t="s">
        <v>1826</v>
      </c>
      <c r="B6" s="60" t="s">
        <v>1042</v>
      </c>
      <c r="C6" s="60" t="s">
        <v>1827</v>
      </c>
      <c r="D6" s="60" t="s">
        <v>1043</v>
      </c>
      <c r="E6" s="60" t="s">
        <v>1044</v>
      </c>
      <c r="F6" s="60" t="s">
        <v>1828</v>
      </c>
      <c r="G6" s="60" t="s">
        <v>337</v>
      </c>
      <c r="H6" s="60" t="s">
        <v>1829</v>
      </c>
      <c r="I6" s="60" t="s">
        <v>1047</v>
      </c>
      <c r="J6" s="60" t="s">
        <v>28</v>
      </c>
      <c r="K6" s="60" t="s">
        <v>1830</v>
      </c>
      <c r="L6" s="60" t="s">
        <v>1831</v>
      </c>
      <c r="M6" s="60" t="s">
        <v>1832</v>
      </c>
      <c r="N6" s="60" t="s">
        <v>1048</v>
      </c>
      <c r="O6" s="60" t="s">
        <v>1049</v>
      </c>
      <c r="P6" s="60" t="s">
        <v>1662</v>
      </c>
      <c r="Q6" s="60" t="s">
        <v>1833</v>
      </c>
      <c r="R6" s="60" t="s">
        <v>305</v>
      </c>
      <c r="Z6" t="s">
        <v>1647</v>
      </c>
    </row>
    <row r="7" spans="1:29">
      <c r="A7" s="3" t="s">
        <v>1834</v>
      </c>
      <c r="B7" s="4">
        <v>46082</v>
      </c>
      <c r="C7" s="3" t="s">
        <v>1835</v>
      </c>
      <c r="D7" s="3" t="s">
        <v>1836</v>
      </c>
      <c r="E7" s="3" t="s">
        <v>1837</v>
      </c>
      <c r="F7" s="3" t="s">
        <v>1814</v>
      </c>
      <c r="G7" s="3" t="s">
        <v>1838</v>
      </c>
      <c r="H7" s="3" t="s">
        <v>1825</v>
      </c>
      <c r="I7" s="3" t="s">
        <v>344</v>
      </c>
      <c r="J7" s="3" t="s">
        <v>38</v>
      </c>
      <c r="K7" s="12">
        <v>18</v>
      </c>
      <c r="L7" s="12">
        <v>12</v>
      </c>
      <c r="M7" s="12">
        <v>2.4</v>
      </c>
      <c r="N7" s="3" t="s">
        <v>1839</v>
      </c>
      <c r="O7" s="4">
        <v>46107</v>
      </c>
      <c r="P7" s="4">
        <v>46143</v>
      </c>
      <c r="Q7" s="3" t="s">
        <v>1063</v>
      </c>
      <c r="R7" s="3" t="s">
        <v>1840</v>
      </c>
      <c r="Z7" t="s">
        <v>1841</v>
      </c>
    </row>
    <row r="8" spans="1:29">
      <c r="A8" s="3" t="s">
        <v>1842</v>
      </c>
      <c r="B8" s="4">
        <v>46093</v>
      </c>
      <c r="C8" s="3" t="s">
        <v>1843</v>
      </c>
      <c r="D8" s="3" t="s">
        <v>1844</v>
      </c>
      <c r="E8" s="3" t="s">
        <v>1837</v>
      </c>
      <c r="F8" s="3" t="s">
        <v>1817</v>
      </c>
      <c r="G8" s="3" t="s">
        <v>1845</v>
      </c>
      <c r="H8" s="3" t="s">
        <v>1818</v>
      </c>
      <c r="I8" s="3" t="s">
        <v>1067</v>
      </c>
      <c r="J8" s="3" t="s">
        <v>33</v>
      </c>
      <c r="K8" s="12">
        <v>4.5</v>
      </c>
      <c r="L8" s="12">
        <v>3.2</v>
      </c>
      <c r="M8" s="12">
        <v>0.7</v>
      </c>
      <c r="N8" s="3" t="s">
        <v>1846</v>
      </c>
      <c r="O8" s="4">
        <v>46109</v>
      </c>
      <c r="P8" s="4"/>
      <c r="Q8" s="3" t="s">
        <v>1075</v>
      </c>
      <c r="R8" s="3" t="s">
        <v>1847</v>
      </c>
      <c r="Z8" t="s">
        <v>1848</v>
      </c>
    </row>
    <row r="9" spans="1:29">
      <c r="Z9" t="s">
        <v>1849</v>
      </c>
    </row>
  </sheetData>
  <mergeCells count="2">
    <mergeCell ref="A1:R1"/>
    <mergeCell ref="A2:R2"/>
  </mergeCells>
  <dataValidations count="4">
    <dataValidation type="list" allowBlank="1" showInputMessage="1" showErrorMessage="1" sqref="H7:H300" xr:uid="{CDF439F8-4FF6-49FD-8A59-E0B805CDEBAE}">
      <formula1>$Z$1:$Z$9</formula1>
    </dataValidation>
    <dataValidation type="list" allowBlank="1" showInputMessage="1" showErrorMessage="1" sqref="I7:I300" xr:uid="{57178AC0-B372-413A-88A1-17C40B531541}">
      <formula1>$AA$1:$AA$4</formula1>
    </dataValidation>
    <dataValidation type="list" allowBlank="1" showInputMessage="1" showErrorMessage="1" sqref="F7:F300" xr:uid="{40FDCEA6-0E01-4FF2-BBB0-3FEA417D9CEF}">
      <formula1>$AB$1:$AB$5</formula1>
    </dataValidation>
    <dataValidation type="list" allowBlank="1" showInputMessage="1" showErrorMessage="1" sqref="Q7:Q300" xr:uid="{2DDCF84A-0DAA-4E87-8026-8BE5ACC2C0C6}">
      <formula1>$AC$1:$AC$4</formula1>
    </dataValidation>
  </dataValidation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A4675-A9F3-40D9-A092-C647B85C5022}">
  <sheetPr>
    <tabColor rgb="FF548235"/>
  </sheetPr>
  <dimension ref="A1:Z7"/>
  <sheetViews>
    <sheetView workbookViewId="0"/>
  </sheetViews>
  <sheetFormatPr defaultRowHeight="15"/>
  <cols>
    <col min="2" max="2" width="11.140625" bestFit="1" customWidth="1"/>
    <col min="11" max="11" width="11.140625" bestFit="1" customWidth="1"/>
    <col min="26" max="26" width="0" hidden="1" customWidth="1"/>
  </cols>
  <sheetData>
    <row r="1" spans="1:26" ht="21">
      <c r="A1" s="187" t="s">
        <v>1850</v>
      </c>
      <c r="B1" s="76"/>
      <c r="C1" s="76"/>
      <c r="D1" s="76"/>
      <c r="E1" s="76"/>
      <c r="F1" s="76"/>
      <c r="G1" s="76"/>
      <c r="H1" s="76"/>
      <c r="I1" s="76"/>
      <c r="J1" s="76"/>
      <c r="K1" s="76"/>
      <c r="L1" s="76"/>
      <c r="M1" s="76"/>
      <c r="Z1" t="s">
        <v>1851</v>
      </c>
    </row>
    <row r="2" spans="1:26">
      <c r="A2" s="207" t="s">
        <v>1852</v>
      </c>
      <c r="B2" s="205"/>
      <c r="C2" s="205"/>
      <c r="D2" s="205"/>
      <c r="E2" s="205"/>
      <c r="F2" s="205"/>
      <c r="G2" s="205"/>
      <c r="H2" s="205"/>
      <c r="I2" s="205"/>
      <c r="J2" s="205"/>
      <c r="K2" s="205"/>
      <c r="L2" s="205"/>
      <c r="M2" s="205"/>
      <c r="Z2" t="s">
        <v>1853</v>
      </c>
    </row>
    <row r="3" spans="1:26">
      <c r="Z3" t="s">
        <v>1122</v>
      </c>
    </row>
    <row r="4" spans="1:26">
      <c r="A4" t="s">
        <v>1123</v>
      </c>
      <c r="B4" s="2">
        <f>COUNTA(TableMAClosed[MA ID])</f>
        <v>1</v>
      </c>
      <c r="C4" t="s">
        <v>1851</v>
      </c>
      <c r="D4" s="2">
        <f>COUNTIF(TableMAClosed[Outcome],"Acquired")</f>
        <v>0</v>
      </c>
      <c r="E4" t="s">
        <v>1853</v>
      </c>
      <c r="F4" s="2">
        <f>COUNTIF(TableMAClosed[Outcome],"Walked")</f>
        <v>1</v>
      </c>
      <c r="Z4" t="s">
        <v>1676</v>
      </c>
    </row>
    <row r="6" spans="1:26">
      <c r="A6" s="5" t="s">
        <v>1826</v>
      </c>
      <c r="B6" s="5" t="s">
        <v>1042</v>
      </c>
      <c r="C6" s="5" t="s">
        <v>1827</v>
      </c>
      <c r="D6" s="5" t="s">
        <v>1828</v>
      </c>
      <c r="E6" s="5" t="s">
        <v>1127</v>
      </c>
      <c r="F6" s="5" t="s">
        <v>1854</v>
      </c>
      <c r="G6" s="5" t="s">
        <v>1831</v>
      </c>
      <c r="H6" s="5" t="s">
        <v>1832</v>
      </c>
      <c r="I6" s="5" t="s">
        <v>30</v>
      </c>
      <c r="J6" s="5" t="s">
        <v>1128</v>
      </c>
      <c r="K6" s="5" t="s">
        <v>1679</v>
      </c>
      <c r="L6" s="5" t="s">
        <v>28</v>
      </c>
      <c r="M6" s="5" t="s">
        <v>305</v>
      </c>
      <c r="N6" s="5"/>
    </row>
    <row r="7" spans="1:26">
      <c r="A7" s="3" t="s">
        <v>1855</v>
      </c>
      <c r="B7" s="4">
        <v>45870</v>
      </c>
      <c r="C7" s="3" t="s">
        <v>1856</v>
      </c>
      <c r="D7" s="3" t="s">
        <v>1814</v>
      </c>
      <c r="E7" s="3" t="s">
        <v>1647</v>
      </c>
      <c r="F7" s="12">
        <v>22</v>
      </c>
      <c r="G7" s="12">
        <v>14</v>
      </c>
      <c r="H7" s="12">
        <v>1.1000000000000001</v>
      </c>
      <c r="I7" s="3" t="s">
        <v>1853</v>
      </c>
      <c r="J7" s="3" t="s">
        <v>1857</v>
      </c>
      <c r="K7" s="4">
        <v>45945</v>
      </c>
      <c r="L7" s="3" t="s">
        <v>38</v>
      </c>
      <c r="M7" s="3" t="s">
        <v>1858</v>
      </c>
    </row>
  </sheetData>
  <mergeCells count="2">
    <mergeCell ref="A1:M1"/>
    <mergeCell ref="A2:M2"/>
  </mergeCells>
  <dataValidations count="1">
    <dataValidation type="list" allowBlank="1" showInputMessage="1" showErrorMessage="1" sqref="I7:I300" xr:uid="{AA1B19F2-D36F-4D95-8F38-621B19DA8BE1}">
      <formula1>$Z$1:$Z$4</formula1>
    </dataValidation>
  </dataValidation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F6E5B-9843-44B9-8B83-ECA827309A39}">
  <sheetPr>
    <tabColor rgb="FF4A5568"/>
  </sheetPr>
  <dimension ref="A1:AB9"/>
  <sheetViews>
    <sheetView workbookViewId="0"/>
  </sheetViews>
  <sheetFormatPr defaultRowHeight="15"/>
  <cols>
    <col min="2" max="2" width="11.140625" bestFit="1" customWidth="1"/>
    <col min="10" max="10" width="11.140625" bestFit="1" customWidth="1"/>
    <col min="26" max="28" width="0" hidden="1" customWidth="1"/>
  </cols>
  <sheetData>
    <row r="1" spans="1:28" ht="21">
      <c r="A1" s="192" t="s">
        <v>1859</v>
      </c>
      <c r="B1" s="81"/>
      <c r="C1" s="81"/>
      <c r="D1" s="81"/>
      <c r="E1" s="81"/>
      <c r="F1" s="81"/>
      <c r="G1" s="81"/>
      <c r="H1" s="81"/>
      <c r="I1" s="81"/>
      <c r="J1" s="81"/>
      <c r="K1" s="81"/>
      <c r="Z1" t="s">
        <v>1031</v>
      </c>
      <c r="AA1" t="s">
        <v>344</v>
      </c>
      <c r="AB1" t="s">
        <v>1114</v>
      </c>
    </row>
    <row r="2" spans="1:28">
      <c r="A2" s="207" t="s">
        <v>1860</v>
      </c>
      <c r="B2" s="205"/>
      <c r="C2" s="205"/>
      <c r="D2" s="205"/>
      <c r="E2" s="205"/>
      <c r="F2" s="205"/>
      <c r="G2" s="205"/>
      <c r="H2" s="205"/>
      <c r="I2" s="205"/>
      <c r="J2" s="205"/>
      <c r="K2" s="205"/>
      <c r="Z2" t="s">
        <v>1816</v>
      </c>
      <c r="AA2" t="s">
        <v>1067</v>
      </c>
      <c r="AB2" t="s">
        <v>1115</v>
      </c>
    </row>
    <row r="3" spans="1:28">
      <c r="Z3" t="s">
        <v>1818</v>
      </c>
      <c r="AA3" t="s">
        <v>1075</v>
      </c>
      <c r="AB3" t="s">
        <v>1116</v>
      </c>
    </row>
    <row r="4" spans="1:28">
      <c r="A4" t="s">
        <v>1148</v>
      </c>
      <c r="B4" s="2">
        <f>COUNTA(TableMATasks[Task ID])</f>
        <v>2</v>
      </c>
      <c r="C4" t="s">
        <v>1149</v>
      </c>
      <c r="D4" s="2">
        <f>COUNTIFS(TableMATasks[Priority],"Critical")+COUNTIFS(TableMATasks[Priority],"High")</f>
        <v>2</v>
      </c>
      <c r="Z4" t="s">
        <v>1823</v>
      </c>
      <c r="AA4" t="s">
        <v>1089</v>
      </c>
      <c r="AB4" t="s">
        <v>228</v>
      </c>
    </row>
    <row r="5" spans="1:28">
      <c r="Z5" t="s">
        <v>1825</v>
      </c>
    </row>
    <row r="6" spans="1:28">
      <c r="A6" s="60" t="s">
        <v>1150</v>
      </c>
      <c r="B6" s="60" t="s">
        <v>1042</v>
      </c>
      <c r="C6" s="60" t="s">
        <v>1827</v>
      </c>
      <c r="D6" s="60" t="s">
        <v>1826</v>
      </c>
      <c r="E6" s="60" t="s">
        <v>1151</v>
      </c>
      <c r="F6" s="60" t="s">
        <v>1152</v>
      </c>
      <c r="G6" s="60" t="s">
        <v>1047</v>
      </c>
      <c r="H6" s="60" t="s">
        <v>279</v>
      </c>
      <c r="I6" s="60" t="s">
        <v>28</v>
      </c>
      <c r="J6" s="60" t="s">
        <v>1153</v>
      </c>
      <c r="K6" s="60" t="s">
        <v>305</v>
      </c>
      <c r="L6" s="60"/>
      <c r="M6" s="60"/>
      <c r="N6" s="60"/>
      <c r="Z6" t="s">
        <v>1647</v>
      </c>
    </row>
    <row r="7" spans="1:28">
      <c r="A7" s="3" t="s">
        <v>1861</v>
      </c>
      <c r="B7" s="4">
        <v>46101</v>
      </c>
      <c r="C7" s="3" t="s">
        <v>1835</v>
      </c>
      <c r="D7" s="3" t="s">
        <v>1834</v>
      </c>
      <c r="E7" s="3" t="s">
        <v>1647</v>
      </c>
      <c r="F7" s="3" t="s">
        <v>1862</v>
      </c>
      <c r="G7" s="3" t="s">
        <v>344</v>
      </c>
      <c r="H7" s="3" t="s">
        <v>1115</v>
      </c>
      <c r="I7" s="3" t="s">
        <v>38</v>
      </c>
      <c r="J7" s="4">
        <v>46108</v>
      </c>
      <c r="K7" s="3" t="s">
        <v>1863</v>
      </c>
      <c r="Z7" t="s">
        <v>1841</v>
      </c>
    </row>
    <row r="8" spans="1:28">
      <c r="A8" s="3" t="s">
        <v>1864</v>
      </c>
      <c r="B8" s="4">
        <v>46099</v>
      </c>
      <c r="C8" s="3" t="s">
        <v>1843</v>
      </c>
      <c r="D8" s="3" t="s">
        <v>1842</v>
      </c>
      <c r="E8" s="3" t="s">
        <v>1818</v>
      </c>
      <c r="F8" s="3" t="s">
        <v>1865</v>
      </c>
      <c r="G8" s="3" t="s">
        <v>1067</v>
      </c>
      <c r="H8" s="3" t="s">
        <v>1114</v>
      </c>
      <c r="I8" s="3" t="s">
        <v>33</v>
      </c>
      <c r="J8" s="4">
        <v>46109</v>
      </c>
      <c r="K8" s="3"/>
      <c r="Z8" t="s">
        <v>1848</v>
      </c>
    </row>
    <row r="9" spans="1:28">
      <c r="Z9" t="s">
        <v>1849</v>
      </c>
    </row>
  </sheetData>
  <mergeCells count="2">
    <mergeCell ref="A1:K1"/>
    <mergeCell ref="A2:K2"/>
  </mergeCells>
  <dataValidations count="3">
    <dataValidation type="list" allowBlank="1" showInputMessage="1" showErrorMessage="1" sqref="E7:E300" xr:uid="{159E0A25-7236-4A62-9273-72DF9B9F316E}">
      <formula1>$Z$1:$Z$9</formula1>
    </dataValidation>
    <dataValidation type="list" allowBlank="1" showInputMessage="1" showErrorMessage="1" sqref="G7:G300" xr:uid="{3570EB61-D02F-4A09-B8D8-72179C9F0E74}">
      <formula1>$AA$1:$AA$4</formula1>
    </dataValidation>
    <dataValidation type="list" allowBlank="1" showInputMessage="1" showErrorMessage="1" sqref="H7:H300" xr:uid="{17889D32-A220-4692-AB31-E2BAF6FC80A3}">
      <formula1>$AB$1:$AB$4</formula1>
    </dataValidation>
  </dataValidation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22EAC-5979-4198-A1A0-A21798729D9F}">
  <sheetPr>
    <tabColor rgb="FF548235"/>
  </sheetPr>
  <dimension ref="A1:N7"/>
  <sheetViews>
    <sheetView workbookViewId="0"/>
  </sheetViews>
  <sheetFormatPr defaultRowHeight="15"/>
  <cols>
    <col min="2" max="2" width="11.140625" bestFit="1" customWidth="1"/>
    <col min="10" max="10" width="11.140625" bestFit="1" customWidth="1"/>
    <col min="12" max="12" width="11.140625" bestFit="1" customWidth="1"/>
  </cols>
  <sheetData>
    <row r="1" spans="1:14" ht="21">
      <c r="A1" s="187" t="s">
        <v>1866</v>
      </c>
      <c r="B1" s="76"/>
      <c r="C1" s="76"/>
      <c r="D1" s="76"/>
      <c r="E1" s="76"/>
      <c r="F1" s="76"/>
      <c r="G1" s="76"/>
      <c r="H1" s="76"/>
      <c r="I1" s="76"/>
      <c r="J1" s="76"/>
      <c r="K1" s="76"/>
      <c r="L1" s="76"/>
      <c r="M1" s="76"/>
    </row>
    <row r="2" spans="1:14">
      <c r="A2" s="207" t="s">
        <v>1867</v>
      </c>
      <c r="B2" s="205"/>
      <c r="C2" s="205"/>
      <c r="D2" s="205"/>
      <c r="E2" s="205"/>
      <c r="F2" s="205"/>
      <c r="G2" s="205"/>
      <c r="H2" s="205"/>
      <c r="I2" s="205"/>
      <c r="J2" s="205"/>
      <c r="K2" s="205"/>
      <c r="L2" s="205"/>
      <c r="M2" s="205"/>
    </row>
    <row r="4" spans="1:14">
      <c r="A4" t="s">
        <v>1169</v>
      </c>
      <c r="B4" s="2">
        <f>COUNTA(TableMATasksDone[Task ID])</f>
        <v>1</v>
      </c>
    </row>
    <row r="6" spans="1:14">
      <c r="A6" s="5" t="s">
        <v>1150</v>
      </c>
      <c r="B6" s="5" t="s">
        <v>1042</v>
      </c>
      <c r="C6" s="5" t="s">
        <v>1827</v>
      </c>
      <c r="D6" s="5" t="s">
        <v>1826</v>
      </c>
      <c r="E6" s="5" t="s">
        <v>1151</v>
      </c>
      <c r="F6" s="5" t="s">
        <v>1152</v>
      </c>
      <c r="G6" s="5" t="s">
        <v>1047</v>
      </c>
      <c r="H6" s="5" t="s">
        <v>279</v>
      </c>
      <c r="I6" s="5" t="s">
        <v>28</v>
      </c>
      <c r="J6" s="5" t="s">
        <v>1153</v>
      </c>
      <c r="K6" s="5" t="s">
        <v>305</v>
      </c>
      <c r="L6" s="5" t="s">
        <v>1170</v>
      </c>
      <c r="M6" s="5" t="s">
        <v>1171</v>
      </c>
      <c r="N6" s="5"/>
    </row>
    <row r="7" spans="1:14">
      <c r="A7" s="3" t="s">
        <v>1868</v>
      </c>
      <c r="B7" s="4">
        <v>46086</v>
      </c>
      <c r="C7" s="3" t="s">
        <v>1835</v>
      </c>
      <c r="D7" s="3" t="s">
        <v>1834</v>
      </c>
      <c r="E7" s="3" t="s">
        <v>1825</v>
      </c>
      <c r="F7" s="3" t="s">
        <v>1869</v>
      </c>
      <c r="G7" s="3" t="s">
        <v>344</v>
      </c>
      <c r="H7" s="3" t="s">
        <v>228</v>
      </c>
      <c r="I7" s="3" t="s">
        <v>38</v>
      </c>
      <c r="J7" s="4">
        <v>46096</v>
      </c>
      <c r="K7" s="3" t="s">
        <v>1870</v>
      </c>
      <c r="L7" s="4">
        <v>46095</v>
      </c>
      <c r="M7" s="3" t="s">
        <v>38</v>
      </c>
    </row>
  </sheetData>
  <mergeCells count="2">
    <mergeCell ref="A1:M1"/>
    <mergeCell ref="A2:M2"/>
  </mergeCell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39C3F-12E9-4A45-8848-FF23C8538A1A}">
  <sheetPr>
    <tabColor rgb="FF4A5568"/>
  </sheetPr>
  <dimension ref="A1:H28"/>
  <sheetViews>
    <sheetView workbookViewId="0"/>
  </sheetViews>
  <sheetFormatPr defaultRowHeight="15"/>
  <sheetData>
    <row r="1" spans="1:8" ht="21">
      <c r="A1" s="192" t="s">
        <v>1871</v>
      </c>
      <c r="B1" s="81"/>
      <c r="C1" s="81"/>
      <c r="D1" s="81"/>
      <c r="E1" s="81"/>
      <c r="F1" s="81"/>
    </row>
    <row r="2" spans="1:8">
      <c r="A2" s="207" t="s">
        <v>1872</v>
      </c>
      <c r="B2" s="205"/>
      <c r="C2" s="205"/>
      <c r="D2" s="205"/>
      <c r="E2" s="205"/>
      <c r="F2" s="205"/>
    </row>
    <row r="4" spans="1:8">
      <c r="A4" s="59" t="s">
        <v>1176</v>
      </c>
      <c r="B4" s="59" t="s">
        <v>1151</v>
      </c>
      <c r="C4" s="59" t="s">
        <v>1152</v>
      </c>
      <c r="D4" s="59" t="s">
        <v>1177</v>
      </c>
      <c r="E4" s="59" t="s">
        <v>1178</v>
      </c>
      <c r="F4" s="59" t="s">
        <v>1179</v>
      </c>
    </row>
    <row r="5" spans="1:8">
      <c r="A5" s="60" t="s">
        <v>1873</v>
      </c>
      <c r="B5" s="60" t="s">
        <v>1031</v>
      </c>
      <c r="C5" s="60" t="s">
        <v>1874</v>
      </c>
      <c r="D5" s="60" t="s">
        <v>344</v>
      </c>
      <c r="E5" s="60" t="s">
        <v>33</v>
      </c>
      <c r="F5" s="60" t="s">
        <v>1875</v>
      </c>
      <c r="G5" s="60"/>
      <c r="H5" s="60"/>
    </row>
    <row r="6" spans="1:8">
      <c r="A6" t="s">
        <v>1876</v>
      </c>
      <c r="B6" t="s">
        <v>1031</v>
      </c>
      <c r="C6" t="s">
        <v>1877</v>
      </c>
      <c r="D6" t="s">
        <v>344</v>
      </c>
      <c r="E6" t="s">
        <v>38</v>
      </c>
      <c r="F6" t="s">
        <v>1878</v>
      </c>
    </row>
    <row r="7" spans="1:8">
      <c r="A7" t="s">
        <v>1879</v>
      </c>
      <c r="B7" t="s">
        <v>1816</v>
      </c>
      <c r="C7" t="s">
        <v>1880</v>
      </c>
      <c r="D7" t="s">
        <v>344</v>
      </c>
      <c r="E7" t="s">
        <v>33</v>
      </c>
      <c r="F7" t="s">
        <v>1881</v>
      </c>
    </row>
    <row r="8" spans="1:8">
      <c r="A8" t="s">
        <v>1882</v>
      </c>
      <c r="B8" t="s">
        <v>1816</v>
      </c>
      <c r="C8" t="s">
        <v>1883</v>
      </c>
      <c r="D8" t="s">
        <v>1067</v>
      </c>
      <c r="E8" t="s">
        <v>33</v>
      </c>
      <c r="F8" t="s">
        <v>1884</v>
      </c>
    </row>
    <row r="9" spans="1:8">
      <c r="A9" t="s">
        <v>1885</v>
      </c>
      <c r="B9" t="s">
        <v>1818</v>
      </c>
      <c r="C9" t="s">
        <v>1886</v>
      </c>
      <c r="D9" t="s">
        <v>1067</v>
      </c>
      <c r="E9" t="s">
        <v>38</v>
      </c>
      <c r="F9" t="s">
        <v>1887</v>
      </c>
    </row>
    <row r="10" spans="1:8">
      <c r="A10" t="s">
        <v>1888</v>
      </c>
      <c r="B10" t="s">
        <v>1818</v>
      </c>
      <c r="C10" t="s">
        <v>1889</v>
      </c>
      <c r="D10" t="s">
        <v>1067</v>
      </c>
      <c r="E10" t="s">
        <v>33</v>
      </c>
      <c r="F10" t="s">
        <v>1890</v>
      </c>
    </row>
    <row r="11" spans="1:8">
      <c r="A11" t="s">
        <v>1891</v>
      </c>
      <c r="B11" t="s">
        <v>1823</v>
      </c>
      <c r="C11" t="s">
        <v>1892</v>
      </c>
      <c r="D11" t="s">
        <v>344</v>
      </c>
      <c r="E11" t="s">
        <v>38</v>
      </c>
      <c r="F11" t="s">
        <v>1893</v>
      </c>
    </row>
    <row r="12" spans="1:8">
      <c r="A12" t="s">
        <v>1894</v>
      </c>
      <c r="B12" t="s">
        <v>1823</v>
      </c>
      <c r="C12" t="s">
        <v>1895</v>
      </c>
      <c r="D12" t="s">
        <v>344</v>
      </c>
      <c r="E12" t="s">
        <v>38</v>
      </c>
      <c r="F12" t="s">
        <v>1896</v>
      </c>
    </row>
    <row r="13" spans="1:8">
      <c r="A13" t="s">
        <v>1897</v>
      </c>
      <c r="B13" t="s">
        <v>1825</v>
      </c>
      <c r="C13" t="s">
        <v>1898</v>
      </c>
      <c r="D13" t="s">
        <v>344</v>
      </c>
      <c r="E13" t="s">
        <v>38</v>
      </c>
      <c r="F13" t="s">
        <v>1899</v>
      </c>
    </row>
    <row r="14" spans="1:8">
      <c r="A14" t="s">
        <v>1900</v>
      </c>
      <c r="B14" t="s">
        <v>1825</v>
      </c>
      <c r="C14" t="s">
        <v>1901</v>
      </c>
      <c r="D14" t="s">
        <v>344</v>
      </c>
      <c r="E14" t="s">
        <v>1325</v>
      </c>
      <c r="F14" t="s">
        <v>1902</v>
      </c>
    </row>
    <row r="15" spans="1:8">
      <c r="A15" t="s">
        <v>1903</v>
      </c>
      <c r="B15" t="s">
        <v>1647</v>
      </c>
      <c r="C15" t="s">
        <v>1904</v>
      </c>
      <c r="D15" t="s">
        <v>344</v>
      </c>
      <c r="E15" t="s">
        <v>38</v>
      </c>
      <c r="F15" t="s">
        <v>1905</v>
      </c>
    </row>
    <row r="16" spans="1:8">
      <c r="A16" t="s">
        <v>1906</v>
      </c>
      <c r="B16" t="s">
        <v>1647</v>
      </c>
      <c r="C16" t="s">
        <v>1907</v>
      </c>
      <c r="D16" t="s">
        <v>344</v>
      </c>
      <c r="E16" t="s">
        <v>1325</v>
      </c>
      <c r="F16" t="s">
        <v>1908</v>
      </c>
    </row>
    <row r="17" spans="1:6">
      <c r="A17" t="s">
        <v>1909</v>
      </c>
      <c r="B17" t="s">
        <v>1647</v>
      </c>
      <c r="C17" t="s">
        <v>1910</v>
      </c>
      <c r="D17" t="s">
        <v>1067</v>
      </c>
      <c r="E17" t="s">
        <v>1325</v>
      </c>
      <c r="F17" t="s">
        <v>1911</v>
      </c>
    </row>
    <row r="18" spans="1:6">
      <c r="A18" t="s">
        <v>1912</v>
      </c>
      <c r="B18" t="s">
        <v>1647</v>
      </c>
      <c r="C18" t="s">
        <v>1913</v>
      </c>
      <c r="D18" t="s">
        <v>344</v>
      </c>
      <c r="E18" t="s">
        <v>33</v>
      </c>
      <c r="F18" t="s">
        <v>1914</v>
      </c>
    </row>
    <row r="19" spans="1:6">
      <c r="A19" t="s">
        <v>1915</v>
      </c>
      <c r="B19" t="s">
        <v>1647</v>
      </c>
      <c r="C19" t="s">
        <v>1916</v>
      </c>
      <c r="D19" t="s">
        <v>1067</v>
      </c>
      <c r="E19" t="s">
        <v>52</v>
      </c>
      <c r="F19" t="s">
        <v>1917</v>
      </c>
    </row>
    <row r="20" spans="1:6">
      <c r="A20" t="s">
        <v>1918</v>
      </c>
      <c r="B20" t="s">
        <v>1647</v>
      </c>
      <c r="C20" t="s">
        <v>1919</v>
      </c>
      <c r="D20" t="s">
        <v>344</v>
      </c>
      <c r="E20" t="s">
        <v>38</v>
      </c>
      <c r="F20" t="s">
        <v>1920</v>
      </c>
    </row>
    <row r="21" spans="1:6">
      <c r="A21" t="s">
        <v>1921</v>
      </c>
      <c r="B21" t="s">
        <v>1841</v>
      </c>
      <c r="C21" t="s">
        <v>1922</v>
      </c>
      <c r="D21" t="s">
        <v>344</v>
      </c>
      <c r="E21" t="s">
        <v>1325</v>
      </c>
      <c r="F21" t="s">
        <v>1923</v>
      </c>
    </row>
    <row r="22" spans="1:6">
      <c r="A22" t="s">
        <v>1924</v>
      </c>
      <c r="B22" t="s">
        <v>1841</v>
      </c>
      <c r="C22" t="s">
        <v>1925</v>
      </c>
      <c r="D22" t="s">
        <v>344</v>
      </c>
      <c r="E22" t="s">
        <v>1325</v>
      </c>
      <c r="F22" t="s">
        <v>1926</v>
      </c>
    </row>
    <row r="23" spans="1:6">
      <c r="A23" t="s">
        <v>1927</v>
      </c>
      <c r="B23" t="s">
        <v>1841</v>
      </c>
      <c r="C23" t="s">
        <v>1928</v>
      </c>
      <c r="D23" t="s">
        <v>344</v>
      </c>
      <c r="E23" t="s">
        <v>1764</v>
      </c>
      <c r="F23" t="s">
        <v>1929</v>
      </c>
    </row>
    <row r="24" spans="1:6">
      <c r="A24" t="s">
        <v>1930</v>
      </c>
      <c r="B24" t="s">
        <v>1848</v>
      </c>
      <c r="C24" t="s">
        <v>1931</v>
      </c>
      <c r="D24" t="s">
        <v>344</v>
      </c>
      <c r="E24" t="s">
        <v>1325</v>
      </c>
      <c r="F24" t="s">
        <v>1932</v>
      </c>
    </row>
    <row r="25" spans="1:6">
      <c r="A25" t="s">
        <v>1933</v>
      </c>
      <c r="B25" t="s">
        <v>1848</v>
      </c>
      <c r="C25" t="s">
        <v>1934</v>
      </c>
      <c r="D25" t="s">
        <v>344</v>
      </c>
      <c r="E25" t="s">
        <v>1764</v>
      </c>
      <c r="F25" t="s">
        <v>1935</v>
      </c>
    </row>
    <row r="26" spans="1:6">
      <c r="A26" t="s">
        <v>1936</v>
      </c>
      <c r="B26" t="s">
        <v>1849</v>
      </c>
      <c r="C26" t="s">
        <v>1937</v>
      </c>
      <c r="D26" t="s">
        <v>344</v>
      </c>
      <c r="E26" t="s">
        <v>52</v>
      </c>
      <c r="F26" t="s">
        <v>1938</v>
      </c>
    </row>
    <row r="27" spans="1:6">
      <c r="A27" t="s">
        <v>1939</v>
      </c>
      <c r="B27" t="s">
        <v>1849</v>
      </c>
      <c r="C27" t="s">
        <v>1940</v>
      </c>
      <c r="D27" t="s">
        <v>1067</v>
      </c>
      <c r="E27" t="s">
        <v>52</v>
      </c>
      <c r="F27" t="s">
        <v>1941</v>
      </c>
    </row>
    <row r="28" spans="1:6">
      <c r="A28" t="s">
        <v>1942</v>
      </c>
      <c r="B28" t="s">
        <v>1849</v>
      </c>
      <c r="C28" t="s">
        <v>1943</v>
      </c>
      <c r="D28" t="s">
        <v>1067</v>
      </c>
      <c r="E28" t="s">
        <v>1944</v>
      </c>
      <c r="F28" t="s">
        <v>1945</v>
      </c>
    </row>
  </sheetData>
  <mergeCells count="2">
    <mergeCell ref="A1:F1"/>
    <mergeCell ref="A2:F2"/>
  </mergeCell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D02E2-76C6-4C16-8C48-E6FAF77FE598}">
  <sheetPr>
    <tabColor rgb="FF4A5568"/>
  </sheetPr>
  <dimension ref="A1:H20"/>
  <sheetViews>
    <sheetView workbookViewId="0"/>
  </sheetViews>
  <sheetFormatPr defaultRowHeight="15"/>
  <sheetData>
    <row r="1" spans="1:8" ht="21">
      <c r="A1" s="192" t="s">
        <v>1946</v>
      </c>
      <c r="B1" s="81"/>
      <c r="C1" s="81"/>
      <c r="D1" s="81"/>
      <c r="E1" s="81"/>
    </row>
    <row r="2" spans="1:8">
      <c r="A2" s="207" t="s">
        <v>1947</v>
      </c>
      <c r="B2" s="205"/>
      <c r="C2" s="205"/>
      <c r="D2" s="205"/>
      <c r="E2" s="205"/>
    </row>
    <row r="4" spans="1:8">
      <c r="A4" t="s">
        <v>294</v>
      </c>
      <c r="B4" s="3" t="s">
        <v>1835</v>
      </c>
      <c r="C4" t="s">
        <v>1826</v>
      </c>
      <c r="D4" s="3" t="s">
        <v>1834</v>
      </c>
    </row>
    <row r="5" spans="1:8">
      <c r="A5" s="60" t="s">
        <v>1948</v>
      </c>
      <c r="B5" s="60" t="s">
        <v>1814</v>
      </c>
      <c r="C5" s="60" t="s">
        <v>1547</v>
      </c>
      <c r="D5" s="60" t="s">
        <v>38</v>
      </c>
      <c r="E5" s="60"/>
      <c r="F5" s="60"/>
      <c r="G5" s="60"/>
      <c r="H5" s="60"/>
    </row>
    <row r="7" spans="1:8">
      <c r="A7" s="22" t="s">
        <v>1551</v>
      </c>
      <c r="B7" s="22" t="s">
        <v>1552</v>
      </c>
      <c r="C7" s="22" t="s">
        <v>1553</v>
      </c>
      <c r="D7" s="22" t="s">
        <v>1554</v>
      </c>
      <c r="E7" s="22" t="s">
        <v>1949</v>
      </c>
    </row>
    <row r="8" spans="1:8">
      <c r="A8" t="s">
        <v>1950</v>
      </c>
      <c r="B8" s="47">
        <v>0.2</v>
      </c>
      <c r="C8" s="3">
        <v>5</v>
      </c>
      <c r="D8" s="49">
        <f>B8*C8</f>
        <v>1</v>
      </c>
      <c r="E8" s="3" t="s">
        <v>1951</v>
      </c>
    </row>
    <row r="9" spans="1:8">
      <c r="A9" t="s">
        <v>1952</v>
      </c>
      <c r="B9" s="47">
        <v>0.2</v>
      </c>
      <c r="C9" s="3">
        <v>4</v>
      </c>
      <c r="D9" s="49">
        <f>B9*C9</f>
        <v>0.8</v>
      </c>
      <c r="E9" s="3" t="s">
        <v>1953</v>
      </c>
    </row>
    <row r="10" spans="1:8">
      <c r="A10" t="s">
        <v>1954</v>
      </c>
      <c r="B10" s="47">
        <v>0.15</v>
      </c>
      <c r="C10" s="3">
        <v>3</v>
      </c>
      <c r="D10" s="49">
        <f>B10*C10</f>
        <v>0.44999999999999996</v>
      </c>
      <c r="E10" s="3" t="s">
        <v>1955</v>
      </c>
    </row>
    <row r="11" spans="1:8">
      <c r="A11" t="s">
        <v>1956</v>
      </c>
      <c r="B11" s="47">
        <v>0.15</v>
      </c>
      <c r="C11" s="3">
        <v>4</v>
      </c>
      <c r="D11" s="49">
        <f>B11*C11</f>
        <v>0.6</v>
      </c>
      <c r="E11" s="3" t="s">
        <v>1957</v>
      </c>
    </row>
    <row r="12" spans="1:8">
      <c r="A12" t="s">
        <v>1958</v>
      </c>
      <c r="B12" s="47">
        <v>0.1</v>
      </c>
      <c r="C12" s="3">
        <v>3</v>
      </c>
      <c r="D12" s="49">
        <f>B12*C12</f>
        <v>0.30000000000000004</v>
      </c>
      <c r="E12" s="3" t="s">
        <v>1959</v>
      </c>
    </row>
    <row r="13" spans="1:8">
      <c r="A13" t="s">
        <v>1960</v>
      </c>
      <c r="B13" s="47">
        <v>0.1</v>
      </c>
      <c r="C13" s="3">
        <v>4</v>
      </c>
      <c r="D13" s="49">
        <f>B13*C13</f>
        <v>0.4</v>
      </c>
      <c r="E13" s="3" t="s">
        <v>1961</v>
      </c>
    </row>
    <row r="14" spans="1:8">
      <c r="A14" t="s">
        <v>1962</v>
      </c>
      <c r="B14" s="47">
        <v>0.1</v>
      </c>
      <c r="C14" s="3">
        <v>4</v>
      </c>
      <c r="D14" s="49">
        <f>B14*C14</f>
        <v>0.4</v>
      </c>
      <c r="E14" s="3" t="s">
        <v>1963</v>
      </c>
    </row>
    <row r="15" spans="1:8">
      <c r="A15" s="2" t="s">
        <v>1570</v>
      </c>
      <c r="B15" s="51">
        <f>SUM(B8:B14)</f>
        <v>1</v>
      </c>
      <c r="D15" s="52">
        <f>SUM(D8:D14)</f>
        <v>3.95</v>
      </c>
      <c r="E15" s="2" t="str">
        <f>IF(ABS(B15-1)&gt;0.001,"FIX WEIGHTS","Weights OK")</f>
        <v>Weights OK</v>
      </c>
    </row>
    <row r="17" spans="1:2">
      <c r="A17" t="s">
        <v>1572</v>
      </c>
      <c r="B17" s="49">
        <f>D15</f>
        <v>3.95</v>
      </c>
    </row>
    <row r="18" spans="1:2" ht="15.75">
      <c r="A18" t="s">
        <v>592</v>
      </c>
      <c r="B18" s="1" t="str">
        <f>IF(B17&gt;=4,"Strong pursue",IF(B17&gt;=3.25,"Pursue with conditions",IF(B17&gt;=2.5,"Re-trade / more DD","Walk")))</f>
        <v>Pursue with conditions</v>
      </c>
    </row>
    <row r="19" spans="1:2">
      <c r="A19" t="s">
        <v>1573</v>
      </c>
      <c r="B19" s="3" t="s">
        <v>1964</v>
      </c>
    </row>
    <row r="20" spans="1:2">
      <c r="A20" t="s">
        <v>1965</v>
      </c>
      <c r="B20" s="3" t="s">
        <v>1966</v>
      </c>
    </row>
  </sheetData>
  <mergeCells count="2">
    <mergeCell ref="A1:E1"/>
    <mergeCell ref="A2:E2"/>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D82B5-CB68-4E45-9AA0-5F49C5598218}">
  <sheetPr>
    <tabColor rgb="FF4A5568"/>
  </sheetPr>
  <dimension ref="A1:B44"/>
  <sheetViews>
    <sheetView workbookViewId="0"/>
  </sheetViews>
  <sheetFormatPr defaultRowHeight="15"/>
  <sheetData>
    <row r="1" spans="1:2" ht="21">
      <c r="A1" s="192" t="s">
        <v>1967</v>
      </c>
      <c r="B1" s="81"/>
    </row>
    <row r="2" spans="1:2">
      <c r="A2" s="207" t="s">
        <v>1968</v>
      </c>
      <c r="B2" s="205"/>
    </row>
    <row r="4" spans="1:2">
      <c r="A4" s="221" t="s">
        <v>1969</v>
      </c>
      <c r="B4" s="221"/>
    </row>
    <row r="5" spans="1:2">
      <c r="A5" t="s">
        <v>294</v>
      </c>
      <c r="B5" s="3" t="s">
        <v>1835</v>
      </c>
    </row>
    <row r="6" spans="1:2">
      <c r="A6" t="s">
        <v>1970</v>
      </c>
      <c r="B6" s="12">
        <v>12</v>
      </c>
    </row>
    <row r="7" spans="1:2">
      <c r="A7" t="s">
        <v>1971</v>
      </c>
      <c r="B7" s="12">
        <v>2.4</v>
      </c>
    </row>
    <row r="8" spans="1:2">
      <c r="A8" t="s">
        <v>1972</v>
      </c>
      <c r="B8" s="12">
        <v>2.2000000000000002</v>
      </c>
    </row>
    <row r="9" spans="1:2">
      <c r="A9" t="s">
        <v>1973</v>
      </c>
      <c r="B9" s="48">
        <v>7.5</v>
      </c>
    </row>
    <row r="10" spans="1:2">
      <c r="A10" t="s">
        <v>1974</v>
      </c>
      <c r="B10" s="49">
        <f>B8*B9</f>
        <v>16.5</v>
      </c>
    </row>
    <row r="11" spans="1:2">
      <c r="A11" t="s">
        <v>1975</v>
      </c>
      <c r="B11" s="12">
        <v>1.5</v>
      </c>
    </row>
    <row r="12" spans="1:2">
      <c r="A12" t="s">
        <v>1976</v>
      </c>
      <c r="B12" s="49">
        <f>B10-B11</f>
        <v>15</v>
      </c>
    </row>
    <row r="13" spans="1:2">
      <c r="A13" t="s">
        <v>1977</v>
      </c>
      <c r="B13" s="47">
        <v>0.8</v>
      </c>
    </row>
    <row r="14" spans="1:2">
      <c r="A14" t="s">
        <v>1978</v>
      </c>
      <c r="B14" s="47">
        <v>0.15</v>
      </c>
    </row>
    <row r="15" spans="1:2">
      <c r="A15" t="s">
        <v>1979</v>
      </c>
      <c r="B15" s="47">
        <v>0.05</v>
      </c>
    </row>
    <row r="16" spans="1:2">
      <c r="A16" t="s">
        <v>1980</v>
      </c>
      <c r="B16" s="49">
        <f>B12*B13</f>
        <v>12</v>
      </c>
    </row>
    <row r="17" spans="1:2">
      <c r="A17" t="s">
        <v>1981</v>
      </c>
      <c r="B17" s="49">
        <f>B12*B14</f>
        <v>2.25</v>
      </c>
    </row>
    <row r="18" spans="1:2">
      <c r="A18" t="s">
        <v>1982</v>
      </c>
      <c r="B18" s="49">
        <f>B10*B15</f>
        <v>0.82500000000000007</v>
      </c>
    </row>
    <row r="20" spans="1:2">
      <c r="A20" s="221" t="s">
        <v>1983</v>
      </c>
      <c r="B20" s="221"/>
    </row>
    <row r="21" spans="1:2">
      <c r="A21" t="s">
        <v>1984</v>
      </c>
      <c r="B21" s="63">
        <v>0.35</v>
      </c>
    </row>
    <row r="22" spans="1:2">
      <c r="A22" t="s">
        <v>1985</v>
      </c>
      <c r="B22" s="63">
        <v>0.15</v>
      </c>
    </row>
    <row r="23" spans="1:2">
      <c r="A23" t="s">
        <v>1986</v>
      </c>
      <c r="B23" s="63">
        <v>0.4</v>
      </c>
    </row>
    <row r="24" spans="1:2">
      <c r="A24" t="s">
        <v>1987</v>
      </c>
      <c r="B24" s="49">
        <f>B8+B21+B22</f>
        <v>2.7</v>
      </c>
    </row>
    <row r="25" spans="1:2">
      <c r="A25" t="s">
        <v>1988</v>
      </c>
      <c r="B25" s="44">
        <f>IFERROR(B10/B24,0)</f>
        <v>6.1111111111111107</v>
      </c>
    </row>
    <row r="27" spans="1:2">
      <c r="A27" s="219" t="s">
        <v>1989</v>
      </c>
      <c r="B27" s="219"/>
    </row>
    <row r="28" spans="1:2">
      <c r="A28" t="s">
        <v>1616</v>
      </c>
      <c r="B28" s="3">
        <v>5</v>
      </c>
    </row>
    <row r="29" spans="1:2">
      <c r="A29" t="s">
        <v>1990</v>
      </c>
      <c r="B29" s="13">
        <v>0.08</v>
      </c>
    </row>
    <row r="30" spans="1:2">
      <c r="A30" t="s">
        <v>1991</v>
      </c>
      <c r="B30" s="49">
        <f>B24*((1+B29)^B28)</f>
        <v>3.9671858073600013</v>
      </c>
    </row>
    <row r="31" spans="1:2">
      <c r="A31" t="s">
        <v>1992</v>
      </c>
      <c r="B31" s="48">
        <v>7</v>
      </c>
    </row>
    <row r="32" spans="1:2">
      <c r="A32" t="s">
        <v>1993</v>
      </c>
      <c r="B32" s="49">
        <f>B30*B31</f>
        <v>27.77030065152001</v>
      </c>
    </row>
    <row r="33" spans="1:2">
      <c r="A33" t="s">
        <v>1994</v>
      </c>
      <c r="B33" s="49">
        <f>B12-B17</f>
        <v>12.75</v>
      </c>
    </row>
    <row r="34" spans="1:2">
      <c r="A34" t="s">
        <v>1995</v>
      </c>
      <c r="B34" s="12">
        <v>1.5</v>
      </c>
    </row>
    <row r="35" spans="1:2">
      <c r="A35" t="s">
        <v>1996</v>
      </c>
      <c r="B35" s="49">
        <f>B32-B34</f>
        <v>26.27030065152001</v>
      </c>
    </row>
    <row r="36" spans="1:2">
      <c r="A36" t="s">
        <v>1997</v>
      </c>
      <c r="B36" s="47">
        <v>0.85</v>
      </c>
    </row>
    <row r="37" spans="1:2">
      <c r="A37" t="s">
        <v>1998</v>
      </c>
      <c r="B37" s="49">
        <f>B35*B36</f>
        <v>22.329755553792008</v>
      </c>
    </row>
    <row r="38" spans="1:2">
      <c r="A38" t="s">
        <v>1999</v>
      </c>
      <c r="B38" s="50">
        <f>IFERROR(B37/B33,0)</f>
        <v>1.7513533767680007</v>
      </c>
    </row>
    <row r="39" spans="1:2">
      <c r="A39" t="s">
        <v>2000</v>
      </c>
      <c r="B39" s="40">
        <f>IFERROR(B38^(1/B28)-1,0)</f>
        <v>0.11859985014664587</v>
      </c>
    </row>
    <row r="41" spans="1:2">
      <c r="A41" s="221" t="s">
        <v>2001</v>
      </c>
      <c r="B41" s="221"/>
    </row>
    <row r="42" spans="1:2">
      <c r="A42" t="s">
        <v>2002</v>
      </c>
      <c r="B42" t="str">
        <f>IF(B9&lt;=8,"Pass","Watch")</f>
        <v>Pass</v>
      </c>
    </row>
    <row r="43" spans="1:2">
      <c r="A43" t="s">
        <v>2003</v>
      </c>
      <c r="B43" t="str">
        <f>IF(B25&lt;=7,"Pass","Watch")</f>
        <v>Pass</v>
      </c>
    </row>
    <row r="44" spans="1:2">
      <c r="A44" t="s">
        <v>2004</v>
      </c>
      <c r="B44" t="str">
        <f>IF(B38&gt;=2,"Pass","Fail")</f>
        <v>Fail</v>
      </c>
    </row>
  </sheetData>
  <mergeCells count="6">
    <mergeCell ref="A41:B41"/>
    <mergeCell ref="A1:B1"/>
    <mergeCell ref="A2:B2"/>
    <mergeCell ref="A4:B4"/>
    <mergeCell ref="A20:B20"/>
    <mergeCell ref="A27:B27"/>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B80D1-486A-4A85-9911-4EF0EE90CFCA}">
  <sheetPr>
    <tabColor rgb="FF6C7470"/>
  </sheetPr>
  <dimension ref="A1:F15"/>
  <sheetViews>
    <sheetView workbookViewId="0"/>
  </sheetViews>
  <sheetFormatPr defaultRowHeight="15"/>
  <sheetData>
    <row r="1" spans="1:6" ht="21">
      <c r="A1" s="193" t="s">
        <v>2005</v>
      </c>
      <c r="B1" s="82"/>
      <c r="C1" s="82"/>
      <c r="D1" s="82"/>
      <c r="E1" s="82"/>
      <c r="F1" s="82"/>
    </row>
    <row r="2" spans="1:6">
      <c r="A2" s="207" t="s">
        <v>2006</v>
      </c>
      <c r="B2" s="205"/>
      <c r="C2" s="205"/>
      <c r="D2" s="205"/>
      <c r="E2" s="205"/>
      <c r="F2" s="205"/>
    </row>
    <row r="4" spans="1:6">
      <c r="A4" t="s">
        <v>817</v>
      </c>
      <c r="B4" s="3" t="s">
        <v>1835</v>
      </c>
      <c r="C4" t="s">
        <v>1826</v>
      </c>
      <c r="D4" s="3" t="s">
        <v>1834</v>
      </c>
    </row>
    <row r="5" spans="1:6">
      <c r="A5" t="s">
        <v>2007</v>
      </c>
      <c r="B5" s="4"/>
      <c r="C5" t="s">
        <v>2008</v>
      </c>
      <c r="D5" s="3" t="s">
        <v>976</v>
      </c>
    </row>
    <row r="7" spans="1:6">
      <c r="A7" s="58" t="s">
        <v>2009</v>
      </c>
      <c r="B7" s="58" t="s">
        <v>2010</v>
      </c>
      <c r="C7" s="58" t="s">
        <v>2011</v>
      </c>
      <c r="D7" s="58" t="s">
        <v>2012</v>
      </c>
      <c r="E7" s="58" t="s">
        <v>28</v>
      </c>
      <c r="F7" s="58" t="s">
        <v>279</v>
      </c>
    </row>
    <row r="8" spans="1:6">
      <c r="A8" t="s">
        <v>2013</v>
      </c>
      <c r="B8" s="3" t="s">
        <v>2014</v>
      </c>
      <c r="C8" s="3" t="s">
        <v>2015</v>
      </c>
      <c r="D8" s="3" t="s">
        <v>2016</v>
      </c>
      <c r="E8" s="3" t="s">
        <v>2017</v>
      </c>
      <c r="F8" s="3" t="s">
        <v>1114</v>
      </c>
    </row>
    <row r="9" spans="1:6">
      <c r="A9" t="s">
        <v>2018</v>
      </c>
      <c r="B9" s="3" t="s">
        <v>2019</v>
      </c>
      <c r="C9" s="3" t="s">
        <v>2020</v>
      </c>
      <c r="D9" s="3" t="s">
        <v>2021</v>
      </c>
      <c r="E9" s="3" t="s">
        <v>2022</v>
      </c>
      <c r="F9" s="3" t="s">
        <v>1114</v>
      </c>
    </row>
    <row r="10" spans="1:6">
      <c r="A10" t="s">
        <v>2023</v>
      </c>
      <c r="B10" s="3" t="s">
        <v>2024</v>
      </c>
      <c r="C10" s="3" t="s">
        <v>2025</v>
      </c>
      <c r="D10" s="3" t="s">
        <v>2026</v>
      </c>
      <c r="E10" s="3" t="s">
        <v>601</v>
      </c>
      <c r="F10" s="3" t="s">
        <v>1114</v>
      </c>
    </row>
    <row r="11" spans="1:6">
      <c r="A11" t="s">
        <v>2027</v>
      </c>
      <c r="B11" s="3" t="s">
        <v>2028</v>
      </c>
      <c r="C11" s="3" t="s">
        <v>2029</v>
      </c>
      <c r="D11" s="3" t="s">
        <v>2030</v>
      </c>
      <c r="E11" s="3" t="s">
        <v>2031</v>
      </c>
      <c r="F11" s="3" t="s">
        <v>1114</v>
      </c>
    </row>
    <row r="12" spans="1:6">
      <c r="A12" t="s">
        <v>2032</v>
      </c>
      <c r="B12" s="3" t="s">
        <v>2033</v>
      </c>
      <c r="C12" s="3" t="s">
        <v>2034</v>
      </c>
      <c r="D12" s="3" t="s">
        <v>2035</v>
      </c>
      <c r="E12" s="3" t="s">
        <v>1944</v>
      </c>
      <c r="F12" s="3" t="s">
        <v>1114</v>
      </c>
    </row>
    <row r="13" spans="1:6">
      <c r="A13" t="s">
        <v>2036</v>
      </c>
      <c r="B13" s="3" t="s">
        <v>2037</v>
      </c>
      <c r="C13" s="3" t="s">
        <v>2038</v>
      </c>
      <c r="D13" s="3" t="s">
        <v>2039</v>
      </c>
      <c r="E13" s="3" t="s">
        <v>1325</v>
      </c>
      <c r="F13" s="3" t="s">
        <v>1114</v>
      </c>
    </row>
    <row r="15" spans="1:6">
      <c r="A15" s="204" t="s">
        <v>2040</v>
      </c>
      <c r="B15" s="204"/>
      <c r="C15" s="204"/>
      <c r="D15" s="204"/>
      <c r="E15" s="204"/>
      <c r="F15" s="204"/>
    </row>
  </sheetData>
  <mergeCells count="3">
    <mergeCell ref="A1:F1"/>
    <mergeCell ref="A2:F2"/>
    <mergeCell ref="A15:F15"/>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DC056-7559-4E56-8279-29B2535EC23D}">
  <sheetPr>
    <tabColor rgb="FF7C7871"/>
  </sheetPr>
  <dimension ref="A1:B19"/>
  <sheetViews>
    <sheetView workbookViewId="0"/>
  </sheetViews>
  <sheetFormatPr defaultRowHeight="15"/>
  <sheetData>
    <row r="1" spans="1:2" ht="21">
      <c r="A1" s="188" t="s">
        <v>2041</v>
      </c>
      <c r="B1" s="81"/>
    </row>
    <row r="2" spans="1:2">
      <c r="A2" s="107"/>
    </row>
    <row r="3" spans="1:2">
      <c r="A3" s="64" t="s">
        <v>496</v>
      </c>
    </row>
    <row r="4" spans="1:2">
      <c r="A4" t="s">
        <v>2042</v>
      </c>
    </row>
    <row r="6" spans="1:2">
      <c r="A6" s="64" t="s">
        <v>2043</v>
      </c>
    </row>
    <row r="7" spans="1:2">
      <c r="A7" t="s">
        <v>2044</v>
      </c>
    </row>
    <row r="8" spans="1:2">
      <c r="A8" t="s">
        <v>2045</v>
      </c>
    </row>
    <row r="10" spans="1:2">
      <c r="A10" s="64" t="s">
        <v>2046</v>
      </c>
    </row>
    <row r="11" spans="1:2">
      <c r="A11" t="s">
        <v>2047</v>
      </c>
    </row>
    <row r="13" spans="1:2">
      <c r="A13" s="64" t="s">
        <v>2048</v>
      </c>
    </row>
    <row r="14" spans="1:2">
      <c r="A14" t="s">
        <v>2049</v>
      </c>
    </row>
    <row r="16" spans="1:2">
      <c r="A16" s="64" t="s">
        <v>2050</v>
      </c>
    </row>
    <row r="17" spans="1:1">
      <c r="A17" t="s">
        <v>2051</v>
      </c>
    </row>
    <row r="19" spans="1:1">
      <c r="A19" t="s">
        <v>2052</v>
      </c>
    </row>
  </sheetData>
  <mergeCells count="1">
    <mergeCell ref="A1:B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9E9CF-AAB6-4135-BFA5-63B2D8054FE7}">
  <sheetPr>
    <tabColor rgb="FF6B5B4F"/>
  </sheetPr>
  <dimension ref="A1:AB8"/>
  <sheetViews>
    <sheetView workbookViewId="0"/>
  </sheetViews>
  <sheetFormatPr defaultRowHeight="15"/>
  <cols>
    <col min="2" max="2" width="11.140625" bestFit="1" customWidth="1"/>
    <col min="16" max="16" width="11.140625" bestFit="1" customWidth="1"/>
    <col min="26" max="28" width="0" hidden="1" customWidth="1"/>
  </cols>
  <sheetData>
    <row r="1" spans="1:28" ht="21">
      <c r="A1" s="201" t="s">
        <v>2053</v>
      </c>
      <c r="B1" s="83"/>
      <c r="C1" s="83"/>
      <c r="D1" s="83"/>
      <c r="E1" s="83"/>
      <c r="F1" s="83"/>
      <c r="G1" s="83"/>
      <c r="H1" s="83"/>
      <c r="I1" s="83"/>
      <c r="J1" s="83"/>
      <c r="K1" s="83"/>
      <c r="L1" s="83"/>
      <c r="M1" s="83"/>
      <c r="N1" s="83"/>
      <c r="O1" s="83"/>
      <c r="P1" s="83"/>
      <c r="Q1" s="83"/>
      <c r="Z1" t="s">
        <v>1031</v>
      </c>
      <c r="AA1" t="s">
        <v>2054</v>
      </c>
      <c r="AB1" t="s">
        <v>344</v>
      </c>
    </row>
    <row r="2" spans="1:28">
      <c r="A2" s="207" t="s">
        <v>2055</v>
      </c>
      <c r="B2" s="205"/>
      <c r="C2" s="205"/>
      <c r="D2" s="205"/>
      <c r="E2" s="205"/>
      <c r="F2" s="205"/>
      <c r="G2" s="205"/>
      <c r="H2" s="205"/>
      <c r="I2" s="205"/>
      <c r="J2" s="205"/>
      <c r="K2" s="205"/>
      <c r="L2" s="205"/>
      <c r="M2" s="205"/>
      <c r="N2" s="205"/>
      <c r="O2" s="205"/>
      <c r="P2" s="205"/>
      <c r="Q2" s="205"/>
      <c r="Z2" t="s">
        <v>2056</v>
      </c>
      <c r="AA2" t="s">
        <v>2057</v>
      </c>
      <c r="AB2" t="s">
        <v>1067</v>
      </c>
    </row>
    <row r="3" spans="1:28">
      <c r="Z3" t="s">
        <v>2058</v>
      </c>
      <c r="AB3" t="s">
        <v>1075</v>
      </c>
    </row>
    <row r="4" spans="1:28">
      <c r="A4" t="s">
        <v>1650</v>
      </c>
      <c r="B4" s="2">
        <f>COUNTA(TableREPipeline[RE ID])</f>
        <v>2</v>
      </c>
      <c r="C4" t="s">
        <v>2054</v>
      </c>
      <c r="D4" s="2">
        <f>COUNTIF(TableREPipeline[Route],"Residential")</f>
        <v>1</v>
      </c>
      <c r="E4" t="s">
        <v>2057</v>
      </c>
      <c r="F4" s="2">
        <f>COUNTIF(TableREPipeline[Route],"Commercial")</f>
        <v>1</v>
      </c>
      <c r="G4" t="s">
        <v>2059</v>
      </c>
      <c r="H4" s="2">
        <f>COUNTIF(TableREPipeline[RE Stage],"LOI / PSA")+COUNTIF(TableREPipeline[RE Stage],"Diligence")+COUNTIF(TableREPipeline[RE Stage],"Closing")</f>
        <v>1</v>
      </c>
      <c r="Z4" t="s">
        <v>2060</v>
      </c>
      <c r="AB4" t="s">
        <v>1089</v>
      </c>
    </row>
    <row r="5" spans="1:28">
      <c r="Z5" t="s">
        <v>2061</v>
      </c>
    </row>
    <row r="6" spans="1:28">
      <c r="A6" s="66" t="s">
        <v>2062</v>
      </c>
      <c r="B6" s="66" t="s">
        <v>1042</v>
      </c>
      <c r="C6" s="66" t="s">
        <v>2063</v>
      </c>
      <c r="D6" s="66" t="s">
        <v>2064</v>
      </c>
      <c r="E6" s="66" t="s">
        <v>2065</v>
      </c>
      <c r="F6" s="66" t="s">
        <v>2066</v>
      </c>
      <c r="G6" s="66" t="s">
        <v>337</v>
      </c>
      <c r="H6" s="66" t="s">
        <v>2067</v>
      </c>
      <c r="I6" s="66" t="s">
        <v>1047</v>
      </c>
      <c r="J6" s="66" t="s">
        <v>2068</v>
      </c>
      <c r="K6" s="66" t="s">
        <v>2069</v>
      </c>
      <c r="L6" s="66" t="s">
        <v>2070</v>
      </c>
      <c r="M6" s="66" t="s">
        <v>2071</v>
      </c>
      <c r="N6" s="66" t="s">
        <v>2072</v>
      </c>
      <c r="O6" s="66" t="s">
        <v>1048</v>
      </c>
      <c r="P6" s="66" t="s">
        <v>1049</v>
      </c>
      <c r="Q6" s="66" t="s">
        <v>305</v>
      </c>
      <c r="Z6" t="s">
        <v>2073</v>
      </c>
    </row>
    <row r="7" spans="1:28">
      <c r="A7" s="3" t="s">
        <v>2074</v>
      </c>
      <c r="B7" s="4">
        <v>46091</v>
      </c>
      <c r="C7" s="3" t="s">
        <v>2075</v>
      </c>
      <c r="D7" s="3" t="s">
        <v>2054</v>
      </c>
      <c r="E7" s="3" t="s">
        <v>2076</v>
      </c>
      <c r="F7" s="3" t="s">
        <v>2077</v>
      </c>
      <c r="G7" s="3" t="s">
        <v>2078</v>
      </c>
      <c r="H7" s="3" t="s">
        <v>2058</v>
      </c>
      <c r="I7" s="3" t="s">
        <v>1067</v>
      </c>
      <c r="J7" s="3" t="s">
        <v>2079</v>
      </c>
      <c r="K7" s="9">
        <v>285</v>
      </c>
      <c r="L7" s="9">
        <v>265</v>
      </c>
      <c r="M7" s="12">
        <v>28.8</v>
      </c>
      <c r="N7" s="3" t="s">
        <v>2080</v>
      </c>
      <c r="O7" s="3" t="s">
        <v>2081</v>
      </c>
      <c r="P7" s="4">
        <v>46106</v>
      </c>
      <c r="Q7" s="3" t="s">
        <v>2082</v>
      </c>
      <c r="Z7" t="s">
        <v>1848</v>
      </c>
    </row>
    <row r="8" spans="1:28">
      <c r="A8" s="3" t="s">
        <v>2083</v>
      </c>
      <c r="B8" s="4">
        <v>46086</v>
      </c>
      <c r="C8" s="3" t="s">
        <v>2084</v>
      </c>
      <c r="D8" s="3" t="s">
        <v>2057</v>
      </c>
      <c r="E8" s="3" t="s">
        <v>2085</v>
      </c>
      <c r="F8" s="3" t="s">
        <v>2086</v>
      </c>
      <c r="G8" s="3" t="s">
        <v>2087</v>
      </c>
      <c r="H8" s="3" t="s">
        <v>2061</v>
      </c>
      <c r="I8" s="3" t="s">
        <v>344</v>
      </c>
      <c r="J8" s="3" t="s">
        <v>2088</v>
      </c>
      <c r="K8" s="9">
        <v>2400</v>
      </c>
      <c r="L8" s="9">
        <v>2250</v>
      </c>
      <c r="M8" s="12">
        <v>168</v>
      </c>
      <c r="N8" s="3" t="s">
        <v>2089</v>
      </c>
      <c r="O8" s="3" t="s">
        <v>2090</v>
      </c>
      <c r="P8" s="4">
        <v>46107</v>
      </c>
      <c r="Q8" s="3" t="s">
        <v>2091</v>
      </c>
      <c r="Z8" t="s">
        <v>2092</v>
      </c>
    </row>
  </sheetData>
  <mergeCells count="2">
    <mergeCell ref="A1:Q1"/>
    <mergeCell ref="A2:Q2"/>
  </mergeCells>
  <dataValidations count="3">
    <dataValidation type="list" allowBlank="1" showInputMessage="1" showErrorMessage="1" sqref="H201:H300 H7:H200" xr:uid="{1EF2DDCE-F206-42E5-A245-AE4F6EF53FFB}">
      <formula1>$Z$1:$Z$8</formula1>
    </dataValidation>
    <dataValidation type="list" allowBlank="1" showInputMessage="1" showErrorMessage="1" sqref="D201:D300 D7:D200" xr:uid="{0CF3F492-8CC7-4E97-A205-88F12A95E7A0}">
      <formula1>$AA$1:$AA$2</formula1>
    </dataValidation>
    <dataValidation type="list" allowBlank="1" showInputMessage="1" showErrorMessage="1" sqref="I201:I300 I7:I200" xr:uid="{E604BAA5-C21F-4B3A-A35C-B81EFC850C64}">
      <formula1>$AB$1:$AB$4</formula1>
    </dataValidation>
  </dataValidations>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30D00-E03A-4642-9331-64E378DA411F}">
  <sheetPr>
    <tabColor rgb="FF548235"/>
  </sheetPr>
  <dimension ref="A1:AA7"/>
  <sheetViews>
    <sheetView workbookViewId="0"/>
  </sheetViews>
  <sheetFormatPr defaultRowHeight="15"/>
  <cols>
    <col min="2" max="2" width="11.140625" bestFit="1" customWidth="1"/>
    <col min="12" max="12" width="11.140625" bestFit="1" customWidth="1"/>
    <col min="26" max="27" width="0" hidden="1" customWidth="1"/>
  </cols>
  <sheetData>
    <row r="1" spans="1:27" ht="21">
      <c r="A1" s="187" t="s">
        <v>2093</v>
      </c>
      <c r="B1" s="76"/>
      <c r="C1" s="76"/>
      <c r="D1" s="76"/>
      <c r="E1" s="76"/>
      <c r="F1" s="76"/>
      <c r="G1" s="76"/>
      <c r="H1" s="76"/>
      <c r="I1" s="76"/>
      <c r="J1" s="76"/>
      <c r="K1" s="76"/>
      <c r="L1" s="76"/>
      <c r="M1" s="76"/>
      <c r="Z1" t="s">
        <v>2094</v>
      </c>
      <c r="AA1" t="s">
        <v>2054</v>
      </c>
    </row>
    <row r="2" spans="1:27">
      <c r="A2" s="207" t="s">
        <v>2095</v>
      </c>
      <c r="B2" s="205"/>
      <c r="C2" s="205"/>
      <c r="D2" s="205"/>
      <c r="E2" s="205"/>
      <c r="F2" s="205"/>
      <c r="G2" s="205"/>
      <c r="H2" s="205"/>
      <c r="I2" s="205"/>
      <c r="J2" s="205"/>
      <c r="K2" s="205"/>
      <c r="L2" s="205"/>
      <c r="M2" s="205"/>
      <c r="Z2" t="s">
        <v>1124</v>
      </c>
      <c r="AA2" t="s">
        <v>2057</v>
      </c>
    </row>
    <row r="3" spans="1:27">
      <c r="Z3" t="s">
        <v>1122</v>
      </c>
    </row>
    <row r="4" spans="1:27">
      <c r="A4" t="s">
        <v>2096</v>
      </c>
      <c r="B4" s="2">
        <f>COUNTA(TableREClosed[RE ID])</f>
        <v>1</v>
      </c>
      <c r="C4" t="s">
        <v>2094</v>
      </c>
      <c r="D4" s="2">
        <f>COUNTIF(TableREClosed[Outcome],"Purchased")</f>
        <v>0</v>
      </c>
      <c r="E4" t="s">
        <v>1124</v>
      </c>
      <c r="F4" s="2">
        <f>COUNTIF(TableREClosed[Outcome],"Passed")</f>
        <v>1</v>
      </c>
      <c r="Z4" t="s">
        <v>1676</v>
      </c>
    </row>
    <row r="6" spans="1:27">
      <c r="A6" s="5" t="s">
        <v>2062</v>
      </c>
      <c r="B6" s="5" t="s">
        <v>1042</v>
      </c>
      <c r="C6" s="5" t="s">
        <v>2063</v>
      </c>
      <c r="D6" s="5" t="s">
        <v>2064</v>
      </c>
      <c r="E6" s="5" t="s">
        <v>2065</v>
      </c>
      <c r="F6" s="5" t="s">
        <v>2066</v>
      </c>
      <c r="G6" s="5" t="s">
        <v>2068</v>
      </c>
      <c r="H6" s="5" t="s">
        <v>1127</v>
      </c>
      <c r="I6" s="5" t="s">
        <v>2097</v>
      </c>
      <c r="J6" s="5" t="s">
        <v>30</v>
      </c>
      <c r="K6" s="5" t="s">
        <v>1128</v>
      </c>
      <c r="L6" s="5" t="s">
        <v>1679</v>
      </c>
      <c r="M6" s="5" t="s">
        <v>305</v>
      </c>
      <c r="N6" s="5"/>
    </row>
    <row r="7" spans="1:27">
      <c r="A7" s="3" t="s">
        <v>2098</v>
      </c>
      <c r="B7" s="4">
        <v>45962</v>
      </c>
      <c r="C7" s="3" t="s">
        <v>2099</v>
      </c>
      <c r="D7" s="3" t="s">
        <v>2054</v>
      </c>
      <c r="E7" s="3" t="s">
        <v>2100</v>
      </c>
      <c r="F7" s="3" t="s">
        <v>2101</v>
      </c>
      <c r="G7" s="3" t="s">
        <v>2079</v>
      </c>
      <c r="H7" s="3" t="s">
        <v>2058</v>
      </c>
      <c r="I7" s="3"/>
      <c r="J7" s="3" t="s">
        <v>1124</v>
      </c>
      <c r="K7" s="3" t="s">
        <v>2102</v>
      </c>
      <c r="L7" s="4">
        <v>45981</v>
      </c>
      <c r="M7" s="3" t="s">
        <v>2103</v>
      </c>
    </row>
  </sheetData>
  <mergeCells count="2">
    <mergeCell ref="A1:M1"/>
    <mergeCell ref="A2:M2"/>
  </mergeCells>
  <dataValidations count="2">
    <dataValidation type="list" allowBlank="1" showInputMessage="1" showErrorMessage="1" sqref="J7:J300" xr:uid="{B7221D11-0F0F-4D99-BD68-427EF6B10012}">
      <formula1>$Z$1:$Z$4</formula1>
    </dataValidation>
    <dataValidation type="list" allowBlank="1" showInputMessage="1" showErrorMessage="1" sqref="D7:D300" xr:uid="{A70289C5-0AF9-466A-9126-0E5047916F85}">
      <formula1>$AA$1:$AA$2</formula1>
    </dataValidation>
  </dataValidations>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25B23-11E8-4DBE-AA49-DF7BDF3D296B}">
  <sheetPr>
    <tabColor rgb="FF6B5B4F"/>
  </sheetPr>
  <dimension ref="A1:AC8"/>
  <sheetViews>
    <sheetView workbookViewId="0"/>
  </sheetViews>
  <sheetFormatPr defaultRowHeight="15"/>
  <cols>
    <col min="2" max="2" width="11.140625" bestFit="1" customWidth="1"/>
    <col min="11" max="11" width="11.140625" bestFit="1" customWidth="1"/>
    <col min="26" max="29" width="0" hidden="1" customWidth="1"/>
  </cols>
  <sheetData>
    <row r="1" spans="1:29" ht="21">
      <c r="A1" s="201" t="s">
        <v>2104</v>
      </c>
      <c r="B1" s="83"/>
      <c r="C1" s="83"/>
      <c r="D1" s="83"/>
      <c r="E1" s="83"/>
      <c r="F1" s="83"/>
      <c r="G1" s="83"/>
      <c r="H1" s="83"/>
      <c r="I1" s="83"/>
      <c r="J1" s="83"/>
      <c r="K1" s="83"/>
      <c r="L1" s="83"/>
      <c r="Z1" t="s">
        <v>1031</v>
      </c>
      <c r="AA1" t="s">
        <v>2054</v>
      </c>
      <c r="AB1" t="s">
        <v>344</v>
      </c>
      <c r="AC1" t="s">
        <v>1114</v>
      </c>
    </row>
    <row r="2" spans="1:29">
      <c r="A2" s="207" t="s">
        <v>2105</v>
      </c>
      <c r="B2" s="205"/>
      <c r="C2" s="205"/>
      <c r="D2" s="205"/>
      <c r="E2" s="205"/>
      <c r="F2" s="205"/>
      <c r="G2" s="205"/>
      <c r="H2" s="205"/>
      <c r="I2" s="205"/>
      <c r="J2" s="205"/>
      <c r="K2" s="205"/>
      <c r="L2" s="205"/>
      <c r="Z2" t="s">
        <v>2056</v>
      </c>
      <c r="AA2" t="s">
        <v>2057</v>
      </c>
      <c r="AB2" t="s">
        <v>1067</v>
      </c>
      <c r="AC2" t="s">
        <v>1115</v>
      </c>
    </row>
    <row r="3" spans="1:29">
      <c r="Z3" t="s">
        <v>2058</v>
      </c>
      <c r="AB3" t="s">
        <v>1075</v>
      </c>
      <c r="AC3" t="s">
        <v>1116</v>
      </c>
    </row>
    <row r="4" spans="1:29">
      <c r="A4" t="s">
        <v>2106</v>
      </c>
      <c r="B4" s="2">
        <f>COUNTA(TableRETasks[Task ID])</f>
        <v>2</v>
      </c>
      <c r="Z4" t="s">
        <v>2060</v>
      </c>
      <c r="AB4" t="s">
        <v>1089</v>
      </c>
      <c r="AC4" t="s">
        <v>228</v>
      </c>
    </row>
    <row r="5" spans="1:29">
      <c r="Z5" t="s">
        <v>2061</v>
      </c>
    </row>
    <row r="6" spans="1:29">
      <c r="A6" s="66" t="s">
        <v>1150</v>
      </c>
      <c r="B6" s="66" t="s">
        <v>1042</v>
      </c>
      <c r="C6" s="66" t="s">
        <v>2063</v>
      </c>
      <c r="D6" s="66" t="s">
        <v>2062</v>
      </c>
      <c r="E6" s="66" t="s">
        <v>2064</v>
      </c>
      <c r="F6" s="66" t="s">
        <v>1151</v>
      </c>
      <c r="G6" s="66" t="s">
        <v>1152</v>
      </c>
      <c r="H6" s="66" t="s">
        <v>1047</v>
      </c>
      <c r="I6" s="66" t="s">
        <v>279</v>
      </c>
      <c r="J6" s="66" t="s">
        <v>28</v>
      </c>
      <c r="K6" s="66" t="s">
        <v>1153</v>
      </c>
      <c r="L6" s="66" t="s">
        <v>305</v>
      </c>
      <c r="M6" s="66"/>
      <c r="N6" s="66"/>
      <c r="Z6" t="s">
        <v>2073</v>
      </c>
    </row>
    <row r="7" spans="1:29">
      <c r="A7" s="3" t="s">
        <v>2107</v>
      </c>
      <c r="B7" s="4">
        <v>46101</v>
      </c>
      <c r="C7" s="3" t="s">
        <v>2075</v>
      </c>
      <c r="D7" s="3" t="s">
        <v>2074</v>
      </c>
      <c r="E7" s="3" t="s">
        <v>2054</v>
      </c>
      <c r="F7" s="3" t="s">
        <v>2058</v>
      </c>
      <c r="G7" s="3" t="s">
        <v>2108</v>
      </c>
      <c r="H7" s="3" t="s">
        <v>1067</v>
      </c>
      <c r="I7" s="3" t="s">
        <v>1115</v>
      </c>
      <c r="J7" s="3" t="s">
        <v>2079</v>
      </c>
      <c r="K7" s="4">
        <v>46106</v>
      </c>
      <c r="L7" s="3"/>
      <c r="Z7" t="s">
        <v>1848</v>
      </c>
    </row>
    <row r="8" spans="1:29">
      <c r="A8" s="3" t="s">
        <v>2109</v>
      </c>
      <c r="B8" s="4">
        <v>46099</v>
      </c>
      <c r="C8" s="3" t="s">
        <v>2084</v>
      </c>
      <c r="D8" s="3" t="s">
        <v>2083</v>
      </c>
      <c r="E8" s="3" t="s">
        <v>2057</v>
      </c>
      <c r="F8" s="3" t="s">
        <v>2073</v>
      </c>
      <c r="G8" s="3" t="s">
        <v>2110</v>
      </c>
      <c r="H8" s="3" t="s">
        <v>344</v>
      </c>
      <c r="I8" s="3" t="s">
        <v>1114</v>
      </c>
      <c r="J8" s="3" t="s">
        <v>2088</v>
      </c>
      <c r="K8" s="4">
        <v>46109</v>
      </c>
      <c r="L8" s="3"/>
      <c r="Z8" t="s">
        <v>2092</v>
      </c>
    </row>
  </sheetData>
  <mergeCells count="2">
    <mergeCell ref="A1:L1"/>
    <mergeCell ref="A2:L2"/>
  </mergeCells>
  <dataValidations count="4">
    <dataValidation type="list" allowBlank="1" showInputMessage="1" showErrorMessage="1" sqref="F7:F300" xr:uid="{35A5A9D0-27BF-4E79-8D4C-B8DA6EB3F9B9}">
      <formula1>$Z$1:$Z$8</formula1>
    </dataValidation>
    <dataValidation type="list" allowBlank="1" showInputMessage="1" showErrorMessage="1" sqref="E7:E300" xr:uid="{F26DAE88-249E-4F15-9B97-31009B629B16}">
      <formula1>$AA$1:$AA$2</formula1>
    </dataValidation>
    <dataValidation type="list" allowBlank="1" showInputMessage="1" showErrorMessage="1" sqref="H7:H300" xr:uid="{54D483CB-477C-49A8-B7AF-A17CEF68ED9D}">
      <formula1>$AB$1:$AB$4</formula1>
    </dataValidation>
    <dataValidation type="list" allowBlank="1" showInputMessage="1" showErrorMessage="1" sqref="I7:I300" xr:uid="{7A0EA901-3563-4FC4-BCE0-CFF3269273AC}">
      <formula1>$AC$1:$AC$4</formula1>
    </dataValidation>
  </dataValidations>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41B48-5E45-4DDC-9DA8-A11C7AE917C3}">
  <sheetPr>
    <tabColor rgb="FF548235"/>
  </sheetPr>
  <dimension ref="A1:N7"/>
  <sheetViews>
    <sheetView workbookViewId="0"/>
  </sheetViews>
  <sheetFormatPr defaultRowHeight="15"/>
  <cols>
    <col min="2" max="2" width="11.140625" bestFit="1" customWidth="1"/>
    <col min="11" max="11" width="11.140625" bestFit="1" customWidth="1"/>
    <col min="13" max="13" width="11.140625" bestFit="1" customWidth="1"/>
  </cols>
  <sheetData>
    <row r="1" spans="1:14" ht="21">
      <c r="A1" s="187" t="s">
        <v>2111</v>
      </c>
      <c r="B1" s="76"/>
      <c r="C1" s="76"/>
      <c r="D1" s="76"/>
      <c r="E1" s="76"/>
      <c r="F1" s="76"/>
      <c r="G1" s="76"/>
      <c r="H1" s="76"/>
      <c r="I1" s="76"/>
      <c r="J1" s="76"/>
      <c r="K1" s="76"/>
      <c r="L1" s="76"/>
      <c r="M1" s="76"/>
      <c r="N1" s="76"/>
    </row>
    <row r="2" spans="1:14">
      <c r="A2" s="207" t="s">
        <v>2112</v>
      </c>
      <c r="B2" s="205"/>
      <c r="C2" s="205"/>
      <c r="D2" s="205"/>
      <c r="E2" s="205"/>
      <c r="F2" s="205"/>
      <c r="G2" s="205"/>
      <c r="H2" s="205"/>
      <c r="I2" s="205"/>
      <c r="J2" s="205"/>
      <c r="K2" s="205"/>
      <c r="L2" s="205"/>
      <c r="M2" s="205"/>
      <c r="N2" s="205"/>
    </row>
    <row r="4" spans="1:14">
      <c r="A4" t="s">
        <v>2113</v>
      </c>
      <c r="B4" s="2">
        <f>COUNTA(TableRETasksDone[Task ID])</f>
        <v>1</v>
      </c>
    </row>
    <row r="6" spans="1:14">
      <c r="A6" s="5" t="s">
        <v>1150</v>
      </c>
      <c r="B6" s="5" t="s">
        <v>1042</v>
      </c>
      <c r="C6" s="5" t="s">
        <v>2063</v>
      </c>
      <c r="D6" s="5" t="s">
        <v>2062</v>
      </c>
      <c r="E6" s="5" t="s">
        <v>2064</v>
      </c>
      <c r="F6" s="5" t="s">
        <v>1151</v>
      </c>
      <c r="G6" s="5" t="s">
        <v>1152</v>
      </c>
      <c r="H6" s="5" t="s">
        <v>1047</v>
      </c>
      <c r="I6" s="5" t="s">
        <v>279</v>
      </c>
      <c r="J6" s="5" t="s">
        <v>28</v>
      </c>
      <c r="K6" s="5" t="s">
        <v>1153</v>
      </c>
      <c r="L6" s="5" t="s">
        <v>305</v>
      </c>
      <c r="M6" s="5" t="s">
        <v>1170</v>
      </c>
      <c r="N6" s="5" t="s">
        <v>1171</v>
      </c>
    </row>
    <row r="7" spans="1:14">
      <c r="A7" s="3" t="s">
        <v>2114</v>
      </c>
      <c r="B7" s="4">
        <v>46087</v>
      </c>
      <c r="C7" s="3" t="s">
        <v>2084</v>
      </c>
      <c r="D7" s="3" t="s">
        <v>2083</v>
      </c>
      <c r="E7" s="3" t="s">
        <v>2057</v>
      </c>
      <c r="F7" s="3" t="s">
        <v>2061</v>
      </c>
      <c r="G7" s="3" t="s">
        <v>2115</v>
      </c>
      <c r="H7" s="3" t="s">
        <v>344</v>
      </c>
      <c r="I7" s="3" t="s">
        <v>228</v>
      </c>
      <c r="J7" s="3" t="s">
        <v>2088</v>
      </c>
      <c r="K7" s="4">
        <v>46093</v>
      </c>
      <c r="L7" s="3" t="s">
        <v>2116</v>
      </c>
      <c r="M7" s="4">
        <v>46093</v>
      </c>
      <c r="N7" s="3" t="s">
        <v>2088</v>
      </c>
    </row>
  </sheetData>
  <mergeCells count="2">
    <mergeCell ref="A1:N1"/>
    <mergeCell ref="A2:N2"/>
  </mergeCells>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78AB8-0E7F-4AB2-8455-7400F57DC063}">
  <sheetPr>
    <tabColor rgb="FF6B5B4F"/>
  </sheetPr>
  <dimension ref="A1:H22"/>
  <sheetViews>
    <sheetView workbookViewId="0"/>
  </sheetViews>
  <sheetFormatPr defaultRowHeight="15"/>
  <sheetData>
    <row r="1" spans="1:8" ht="21">
      <c r="A1" s="201" t="s">
        <v>2117</v>
      </c>
      <c r="B1" s="83"/>
      <c r="C1" s="83"/>
      <c r="D1" s="83"/>
      <c r="E1" s="83"/>
      <c r="F1" s="83"/>
      <c r="G1" s="83"/>
    </row>
    <row r="2" spans="1:8">
      <c r="A2" s="207" t="s">
        <v>2118</v>
      </c>
      <c r="B2" s="205"/>
      <c r="C2" s="205"/>
      <c r="D2" s="205"/>
      <c r="E2" s="205"/>
      <c r="F2" s="205"/>
      <c r="G2" s="205"/>
    </row>
    <row r="4" spans="1:8">
      <c r="A4" s="65" t="s">
        <v>1176</v>
      </c>
      <c r="B4" s="65" t="s">
        <v>2064</v>
      </c>
      <c r="C4" s="65" t="s">
        <v>1151</v>
      </c>
      <c r="D4" s="65" t="s">
        <v>1152</v>
      </c>
      <c r="E4" s="65" t="s">
        <v>1047</v>
      </c>
      <c r="F4" s="65" t="s">
        <v>1178</v>
      </c>
      <c r="G4" s="65" t="s">
        <v>1179</v>
      </c>
    </row>
    <row r="5" spans="1:8">
      <c r="A5" s="66" t="s">
        <v>2119</v>
      </c>
      <c r="B5" s="66" t="s">
        <v>2120</v>
      </c>
      <c r="C5" s="66" t="s">
        <v>1031</v>
      </c>
      <c r="D5" s="66" t="s">
        <v>2121</v>
      </c>
      <c r="E5" s="66" t="s">
        <v>344</v>
      </c>
      <c r="F5" s="66" t="s">
        <v>2122</v>
      </c>
      <c r="G5" s="66" t="s">
        <v>2123</v>
      </c>
      <c r="H5" s="66"/>
    </row>
    <row r="6" spans="1:8">
      <c r="A6" t="s">
        <v>2124</v>
      </c>
      <c r="B6" t="s">
        <v>2120</v>
      </c>
      <c r="C6" t="s">
        <v>1031</v>
      </c>
      <c r="D6" t="s">
        <v>2125</v>
      </c>
      <c r="E6" t="s">
        <v>344</v>
      </c>
      <c r="F6" t="s">
        <v>2122</v>
      </c>
      <c r="G6" t="s">
        <v>2126</v>
      </c>
    </row>
    <row r="7" spans="1:8">
      <c r="A7" t="s">
        <v>2127</v>
      </c>
      <c r="B7" t="s">
        <v>2054</v>
      </c>
      <c r="C7" t="s">
        <v>2056</v>
      </c>
      <c r="D7" t="s">
        <v>2128</v>
      </c>
      <c r="E7" t="s">
        <v>1067</v>
      </c>
      <c r="F7" t="s">
        <v>2079</v>
      </c>
      <c r="G7" t="s">
        <v>2129</v>
      </c>
    </row>
    <row r="8" spans="1:8">
      <c r="A8" t="s">
        <v>2130</v>
      </c>
      <c r="B8" t="s">
        <v>2057</v>
      </c>
      <c r="C8" t="s">
        <v>2056</v>
      </c>
      <c r="D8" t="s">
        <v>2131</v>
      </c>
      <c r="E8" t="s">
        <v>344</v>
      </c>
      <c r="F8" t="s">
        <v>2088</v>
      </c>
      <c r="G8" t="s">
        <v>2132</v>
      </c>
    </row>
    <row r="9" spans="1:8">
      <c r="A9" t="s">
        <v>2133</v>
      </c>
      <c r="B9" t="s">
        <v>2120</v>
      </c>
      <c r="C9" t="s">
        <v>2056</v>
      </c>
      <c r="D9" t="s">
        <v>2134</v>
      </c>
      <c r="E9" t="s">
        <v>1067</v>
      </c>
      <c r="F9" t="s">
        <v>2122</v>
      </c>
      <c r="G9" t="s">
        <v>2135</v>
      </c>
    </row>
    <row r="10" spans="1:8">
      <c r="A10" t="s">
        <v>2136</v>
      </c>
      <c r="B10" t="s">
        <v>2054</v>
      </c>
      <c r="C10" t="s">
        <v>2058</v>
      </c>
      <c r="D10" t="s">
        <v>2137</v>
      </c>
      <c r="E10" t="s">
        <v>344</v>
      </c>
      <c r="F10" t="s">
        <v>2079</v>
      </c>
      <c r="G10" t="s">
        <v>2138</v>
      </c>
    </row>
    <row r="11" spans="1:8">
      <c r="A11" t="s">
        <v>2139</v>
      </c>
      <c r="B11" t="s">
        <v>2057</v>
      </c>
      <c r="C11" t="s">
        <v>2058</v>
      </c>
      <c r="D11" t="s">
        <v>2140</v>
      </c>
      <c r="E11" t="s">
        <v>344</v>
      </c>
      <c r="F11" t="s">
        <v>2088</v>
      </c>
      <c r="G11" t="s">
        <v>2141</v>
      </c>
    </row>
    <row r="12" spans="1:8">
      <c r="A12" t="s">
        <v>2142</v>
      </c>
      <c r="B12" t="s">
        <v>2120</v>
      </c>
      <c r="C12" t="s">
        <v>2058</v>
      </c>
      <c r="D12" t="s">
        <v>2143</v>
      </c>
      <c r="E12" t="s">
        <v>344</v>
      </c>
      <c r="F12" t="s">
        <v>38</v>
      </c>
      <c r="G12" t="s">
        <v>2144</v>
      </c>
    </row>
    <row r="13" spans="1:8">
      <c r="A13" t="s">
        <v>2145</v>
      </c>
      <c r="B13" t="s">
        <v>2120</v>
      </c>
      <c r="C13" t="s">
        <v>2060</v>
      </c>
      <c r="D13" t="s">
        <v>2146</v>
      </c>
      <c r="E13" t="s">
        <v>344</v>
      </c>
      <c r="F13" t="s">
        <v>2122</v>
      </c>
      <c r="G13" t="s">
        <v>2147</v>
      </c>
    </row>
    <row r="14" spans="1:8">
      <c r="A14" t="s">
        <v>2148</v>
      </c>
      <c r="B14" t="s">
        <v>2120</v>
      </c>
      <c r="C14" t="s">
        <v>2061</v>
      </c>
      <c r="D14" t="s">
        <v>2149</v>
      </c>
      <c r="E14" t="s">
        <v>344</v>
      </c>
      <c r="F14" t="s">
        <v>2150</v>
      </c>
      <c r="G14" t="s">
        <v>2151</v>
      </c>
    </row>
    <row r="15" spans="1:8">
      <c r="A15" t="s">
        <v>2152</v>
      </c>
      <c r="B15" t="s">
        <v>2054</v>
      </c>
      <c r="C15" t="s">
        <v>2073</v>
      </c>
      <c r="D15" t="s">
        <v>2153</v>
      </c>
      <c r="E15" t="s">
        <v>344</v>
      </c>
      <c r="F15" t="s">
        <v>2079</v>
      </c>
      <c r="G15" t="s">
        <v>2154</v>
      </c>
    </row>
    <row r="16" spans="1:8">
      <c r="A16" t="s">
        <v>2155</v>
      </c>
      <c r="B16" t="s">
        <v>2057</v>
      </c>
      <c r="C16" t="s">
        <v>2073</v>
      </c>
      <c r="D16" t="s">
        <v>2156</v>
      </c>
      <c r="E16" t="s">
        <v>344</v>
      </c>
      <c r="F16" t="s">
        <v>2088</v>
      </c>
      <c r="G16" t="s">
        <v>2157</v>
      </c>
    </row>
    <row r="17" spans="1:7">
      <c r="A17" t="s">
        <v>2158</v>
      </c>
      <c r="B17" t="s">
        <v>2057</v>
      </c>
      <c r="C17" t="s">
        <v>2073</v>
      </c>
      <c r="D17" t="s">
        <v>2159</v>
      </c>
      <c r="E17" t="s">
        <v>1067</v>
      </c>
      <c r="F17" t="s">
        <v>2088</v>
      </c>
      <c r="G17" t="s">
        <v>2160</v>
      </c>
    </row>
    <row r="18" spans="1:7">
      <c r="A18" t="s">
        <v>2161</v>
      </c>
      <c r="B18" t="s">
        <v>2120</v>
      </c>
      <c r="C18" t="s">
        <v>2073</v>
      </c>
      <c r="D18" t="s">
        <v>2162</v>
      </c>
      <c r="E18" t="s">
        <v>1067</v>
      </c>
      <c r="F18" t="s">
        <v>2163</v>
      </c>
      <c r="G18" t="s">
        <v>2164</v>
      </c>
    </row>
    <row r="19" spans="1:7">
      <c r="A19" t="s">
        <v>2165</v>
      </c>
      <c r="B19" t="s">
        <v>2120</v>
      </c>
      <c r="C19" t="s">
        <v>1848</v>
      </c>
      <c r="D19" t="s">
        <v>2166</v>
      </c>
      <c r="E19" t="s">
        <v>344</v>
      </c>
      <c r="F19" t="s">
        <v>57</v>
      </c>
      <c r="G19" t="s">
        <v>2167</v>
      </c>
    </row>
    <row r="20" spans="1:7">
      <c r="A20" t="s">
        <v>2168</v>
      </c>
      <c r="B20" t="s">
        <v>2120</v>
      </c>
      <c r="C20" t="s">
        <v>2092</v>
      </c>
      <c r="D20" t="s">
        <v>2169</v>
      </c>
      <c r="E20" t="s">
        <v>344</v>
      </c>
      <c r="F20" t="s">
        <v>2170</v>
      </c>
      <c r="G20" t="s">
        <v>2171</v>
      </c>
    </row>
    <row r="21" spans="1:7">
      <c r="A21" t="s">
        <v>2172</v>
      </c>
      <c r="B21" t="s">
        <v>2120</v>
      </c>
      <c r="C21" t="s">
        <v>1158</v>
      </c>
      <c r="D21" t="s">
        <v>2173</v>
      </c>
      <c r="E21" t="s">
        <v>1075</v>
      </c>
      <c r="F21" t="s">
        <v>38</v>
      </c>
      <c r="G21" t="s">
        <v>2174</v>
      </c>
    </row>
    <row r="22" spans="1:7">
      <c r="A22" t="s">
        <v>2175</v>
      </c>
      <c r="B22" t="s">
        <v>2120</v>
      </c>
      <c r="C22" t="s">
        <v>1158</v>
      </c>
      <c r="D22" t="s">
        <v>2176</v>
      </c>
      <c r="E22" t="s">
        <v>1089</v>
      </c>
      <c r="F22" t="s">
        <v>2122</v>
      </c>
      <c r="G22" t="s">
        <v>2177</v>
      </c>
    </row>
  </sheetData>
  <mergeCells count="2">
    <mergeCell ref="A1:G1"/>
    <mergeCell ref="A2:G2"/>
  </mergeCells>
  <pageMargins left="0.7" right="0.7" top="0.75" bottom="0.75" header="0.3" footer="0.3"/>
  <tableParts count="1">
    <tablePart r:id="rId1"/>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B0F39-76DE-4161-AAE8-5237366AB441}">
  <sheetPr>
    <tabColor rgb="FF6B5B4F"/>
  </sheetPr>
  <dimension ref="A1:E22"/>
  <sheetViews>
    <sheetView workbookViewId="0"/>
  </sheetViews>
  <sheetFormatPr defaultRowHeight="15"/>
  <sheetData>
    <row r="1" spans="1:5" ht="21">
      <c r="A1" s="201" t="s">
        <v>2178</v>
      </c>
      <c r="B1" s="83"/>
      <c r="C1" s="83"/>
      <c r="D1" s="83"/>
      <c r="E1" s="83"/>
    </row>
    <row r="2" spans="1:5">
      <c r="A2" s="207" t="s">
        <v>2179</v>
      </c>
      <c r="B2" s="205"/>
      <c r="C2" s="205"/>
      <c r="D2" s="205"/>
      <c r="E2" s="205"/>
    </row>
    <row r="4" spans="1:5">
      <c r="A4" s="222" t="s">
        <v>2180</v>
      </c>
      <c r="B4" s="222"/>
      <c r="D4" s="223" t="s">
        <v>2181</v>
      </c>
      <c r="E4" s="223"/>
    </row>
    <row r="5" spans="1:5">
      <c r="A5" t="s">
        <v>2182</v>
      </c>
      <c r="B5" s="3" t="s">
        <v>2183</v>
      </c>
      <c r="D5" t="s">
        <v>2184</v>
      </c>
      <c r="E5" s="3" t="s">
        <v>2185</v>
      </c>
    </row>
    <row r="6" spans="1:5">
      <c r="A6" t="s">
        <v>2186</v>
      </c>
      <c r="B6" s="9">
        <v>265</v>
      </c>
      <c r="D6" t="s">
        <v>2187</v>
      </c>
      <c r="E6" s="9">
        <v>2250</v>
      </c>
    </row>
    <row r="7" spans="1:5">
      <c r="A7" t="s">
        <v>2188</v>
      </c>
      <c r="B7" s="9">
        <v>8</v>
      </c>
      <c r="D7" t="s">
        <v>2189</v>
      </c>
      <c r="E7" s="9">
        <v>75</v>
      </c>
    </row>
    <row r="8" spans="1:5">
      <c r="A8" t="s">
        <v>2190</v>
      </c>
      <c r="B8" s="9">
        <v>35</v>
      </c>
      <c r="D8" t="s">
        <v>2191</v>
      </c>
      <c r="E8" s="41">
        <f>E6+E7</f>
        <v>2325</v>
      </c>
    </row>
    <row r="9" spans="1:5">
      <c r="A9" t="s">
        <v>2192</v>
      </c>
      <c r="B9" s="41">
        <f>B6+B7+B8</f>
        <v>308</v>
      </c>
      <c r="D9" t="s">
        <v>2193</v>
      </c>
      <c r="E9" s="9">
        <v>168</v>
      </c>
    </row>
    <row r="10" spans="1:5">
      <c r="A10" t="s">
        <v>2194</v>
      </c>
      <c r="B10" s="9">
        <v>340</v>
      </c>
      <c r="D10" t="s">
        <v>2195</v>
      </c>
      <c r="E10" s="9">
        <v>185</v>
      </c>
    </row>
    <row r="11" spans="1:5">
      <c r="A11" t="s">
        <v>2196</v>
      </c>
      <c r="B11" s="40">
        <f>IFERROR(1-B9/B10,0)</f>
        <v>9.4117647058823528E-2</v>
      </c>
      <c r="D11" t="s">
        <v>2197</v>
      </c>
      <c r="E11" s="69">
        <f>IFERROR(E9/E6,0)</f>
        <v>7.4666666666666673E-2</v>
      </c>
    </row>
    <row r="12" spans="1:5">
      <c r="A12" t="s">
        <v>2198</v>
      </c>
      <c r="B12" s="43">
        <v>2400</v>
      </c>
      <c r="D12" t="s">
        <v>2199</v>
      </c>
      <c r="E12" s="69">
        <f>IFERROR(E10/E8,0)</f>
        <v>7.9569892473118284E-2</v>
      </c>
    </row>
    <row r="13" spans="1:5">
      <c r="A13" t="s">
        <v>2200</v>
      </c>
      <c r="B13" s="42">
        <f>B12*12/1000</f>
        <v>28.8</v>
      </c>
      <c r="D13" t="s">
        <v>2201</v>
      </c>
      <c r="E13" s="47">
        <v>0.9</v>
      </c>
    </row>
    <row r="14" spans="1:5">
      <c r="A14" t="s">
        <v>2202</v>
      </c>
      <c r="B14" s="47">
        <v>0.35</v>
      </c>
      <c r="D14" t="s">
        <v>2203</v>
      </c>
      <c r="E14" s="47">
        <v>0.65</v>
      </c>
    </row>
    <row r="15" spans="1:5">
      <c r="A15" t="s">
        <v>2204</v>
      </c>
      <c r="B15" s="42">
        <f>B13*(1-B14)</f>
        <v>18.720000000000002</v>
      </c>
      <c r="D15" t="s">
        <v>2205</v>
      </c>
      <c r="E15" s="41">
        <f>E6*E14</f>
        <v>1462.5</v>
      </c>
    </row>
    <row r="16" spans="1:5">
      <c r="A16" t="s">
        <v>2206</v>
      </c>
      <c r="B16" s="40">
        <f>IFERROR(B15/B9,0)</f>
        <v>6.0779220779220787E-2</v>
      </c>
      <c r="D16" t="s">
        <v>2207</v>
      </c>
      <c r="E16" s="41">
        <f>E8-E15</f>
        <v>862.5</v>
      </c>
    </row>
    <row r="17" spans="1:5">
      <c r="A17" t="s">
        <v>2208</v>
      </c>
      <c r="B17" s="13">
        <v>0.08</v>
      </c>
      <c r="D17" t="s">
        <v>2209</v>
      </c>
      <c r="E17" s="13">
        <v>6.5000000000000002E-2</v>
      </c>
    </row>
    <row r="18" spans="1:5">
      <c r="A18" t="s">
        <v>2210</v>
      </c>
      <c r="B18" t="str">
        <f>IF(AND(B11&gt;=0.15,B16&gt;=B17),"Pass",IF(OR(B11&gt;=0.1,B16&gt;=B17*0.9),"Watch","Fail"))</f>
        <v>Fail</v>
      </c>
      <c r="D18" t="s">
        <v>2211</v>
      </c>
      <c r="E18" s="42">
        <f>E15*E17</f>
        <v>95.0625</v>
      </c>
    </row>
    <row r="19" spans="1:5">
      <c r="D19" t="s">
        <v>2212</v>
      </c>
      <c r="E19" s="42">
        <f>E9-E18</f>
        <v>72.9375</v>
      </c>
    </row>
    <row r="20" spans="1:5">
      <c r="D20" t="s">
        <v>2213</v>
      </c>
      <c r="E20" s="40">
        <f>IFERROR(E19/E16,0)</f>
        <v>8.4565217391304348E-2</v>
      </c>
    </row>
    <row r="21" spans="1:5">
      <c r="D21" t="s">
        <v>2214</v>
      </c>
      <c r="E21" s="13">
        <v>7.0000000000000007E-2</v>
      </c>
    </row>
    <row r="22" spans="1:5">
      <c r="D22" t="s">
        <v>2215</v>
      </c>
      <c r="E22" t="str">
        <f>IF(AND(E11&gt;=E21,E13&gt;=0.85),"Pass",IF(E11&gt;=E21*0.95,"Watch","Fail"))</f>
        <v>Pass</v>
      </c>
    </row>
  </sheetData>
  <mergeCells count="4">
    <mergeCell ref="A1:E1"/>
    <mergeCell ref="A2:E2"/>
    <mergeCell ref="A4:B4"/>
    <mergeCell ref="D4:E4"/>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097A-AAF1-41A8-A8A1-1EA4890BDF1D}">
  <sheetPr>
    <tabColor rgb="FF6C7470"/>
  </sheetPr>
  <dimension ref="A1:AA7"/>
  <sheetViews>
    <sheetView workbookViewId="0"/>
  </sheetViews>
  <sheetFormatPr defaultRowHeight="15"/>
  <cols>
    <col min="6" max="6" width="11.140625" bestFit="1" customWidth="1"/>
    <col min="14" max="14" width="11.140625" bestFit="1" customWidth="1"/>
    <col min="26" max="27" width="0" hidden="1" customWidth="1"/>
  </cols>
  <sheetData>
    <row r="1" spans="1:27" ht="21">
      <c r="A1" s="193" t="s">
        <v>2216</v>
      </c>
      <c r="B1" s="82"/>
      <c r="C1" s="82"/>
      <c r="D1" s="82"/>
      <c r="E1" s="82"/>
      <c r="F1" s="82"/>
      <c r="G1" s="82"/>
      <c r="H1" s="82"/>
      <c r="I1" s="82"/>
      <c r="J1" s="82"/>
      <c r="K1" s="82"/>
      <c r="L1" s="82"/>
      <c r="M1" s="82"/>
      <c r="N1" s="82"/>
      <c r="Z1" t="s">
        <v>338</v>
      </c>
      <c r="AA1" t="s">
        <v>2054</v>
      </c>
    </row>
    <row r="2" spans="1:27">
      <c r="A2" s="207" t="s">
        <v>2217</v>
      </c>
      <c r="B2" s="205"/>
      <c r="C2" s="205"/>
      <c r="D2" s="205"/>
      <c r="E2" s="205"/>
      <c r="F2" s="205"/>
      <c r="G2" s="205"/>
      <c r="H2" s="205"/>
      <c r="I2" s="205"/>
      <c r="J2" s="205"/>
      <c r="K2" s="205"/>
      <c r="L2" s="205"/>
      <c r="M2" s="205"/>
      <c r="N2" s="205"/>
      <c r="Z2" t="s">
        <v>340</v>
      </c>
      <c r="AA2" t="s">
        <v>2057</v>
      </c>
    </row>
    <row r="3" spans="1:27">
      <c r="Z3" t="s">
        <v>342</v>
      </c>
    </row>
    <row r="4" spans="1:27">
      <c r="A4" t="s">
        <v>1337</v>
      </c>
      <c r="B4" s="2">
        <f>COUNTA(TableREPortfolio[PFRE ID])</f>
        <v>1</v>
      </c>
      <c r="C4" t="s">
        <v>2218</v>
      </c>
      <c r="D4" s="2">
        <f>COUNTIF(TableREPortfolio[Route],"Residential")</f>
        <v>1</v>
      </c>
      <c r="E4" t="s">
        <v>2219</v>
      </c>
      <c r="F4" s="2">
        <f>COUNTIF(TableREPortfolio[Route],"Commercial")</f>
        <v>0</v>
      </c>
      <c r="Z4" t="s">
        <v>344</v>
      </c>
    </row>
    <row r="6" spans="1:27">
      <c r="A6" s="53" t="s">
        <v>2220</v>
      </c>
      <c r="B6" s="53" t="s">
        <v>2063</v>
      </c>
      <c r="C6" s="53" t="s">
        <v>2062</v>
      </c>
      <c r="D6" s="53" t="s">
        <v>2064</v>
      </c>
      <c r="E6" s="53" t="s">
        <v>2065</v>
      </c>
      <c r="F6" s="53" t="s">
        <v>1679</v>
      </c>
      <c r="G6" s="53" t="s">
        <v>2221</v>
      </c>
      <c r="H6" s="53" t="s">
        <v>2204</v>
      </c>
      <c r="I6" s="53" t="s">
        <v>2222</v>
      </c>
      <c r="J6" s="53" t="s">
        <v>2223</v>
      </c>
      <c r="K6" s="53" t="s">
        <v>2224</v>
      </c>
      <c r="L6" s="53" t="s">
        <v>2225</v>
      </c>
      <c r="M6" s="53" t="s">
        <v>2226</v>
      </c>
      <c r="N6" s="53" t="s">
        <v>2227</v>
      </c>
    </row>
    <row r="7" spans="1:27">
      <c r="A7" s="3" t="s">
        <v>990</v>
      </c>
      <c r="B7" s="3" t="s">
        <v>985</v>
      </c>
      <c r="C7" s="3" t="s">
        <v>2228</v>
      </c>
      <c r="D7" s="3" t="s">
        <v>2054</v>
      </c>
      <c r="E7" s="3" t="s">
        <v>2229</v>
      </c>
      <c r="F7" s="4">
        <v>45915</v>
      </c>
      <c r="G7" s="9">
        <v>210</v>
      </c>
      <c r="H7" s="12">
        <v>18.5</v>
      </c>
      <c r="I7" s="47">
        <v>1</v>
      </c>
      <c r="J7" s="40">
        <f>IFERROR(H7/G7,0)</f>
        <v>8.8095238095238101E-2</v>
      </c>
      <c r="K7" s="3" t="s">
        <v>991</v>
      </c>
      <c r="L7" s="3" t="s">
        <v>338</v>
      </c>
      <c r="M7" s="3" t="s">
        <v>2230</v>
      </c>
      <c r="N7" s="4">
        <v>46082</v>
      </c>
    </row>
  </sheetData>
  <mergeCells count="2">
    <mergeCell ref="A1:N1"/>
    <mergeCell ref="A2:N2"/>
  </mergeCells>
  <dataValidations count="2">
    <dataValidation type="list" allowBlank="1" showInputMessage="1" showErrorMessage="1" sqref="L7:L300" xr:uid="{D52C36CF-CBE5-418A-B4D0-AAA2CFD29AAE}">
      <formula1>$Z$1:$Z$4</formula1>
    </dataValidation>
    <dataValidation type="list" allowBlank="1" showInputMessage="1" showErrorMessage="1" sqref="D7:D300" xr:uid="{22723D8A-FEA4-4DF9-8178-1FFA28D9AE37}">
      <formula1>$AA$1:$AA$2</formula1>
    </dataValidation>
  </dataValidations>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B5898-B254-49E4-9801-A0B2653EC1A0}">
  <sheetPr>
    <tabColor rgb="FF7C7871"/>
  </sheetPr>
  <dimension ref="A1:B18"/>
  <sheetViews>
    <sheetView workbookViewId="0"/>
  </sheetViews>
  <sheetFormatPr defaultRowHeight="15"/>
  <sheetData>
    <row r="1" spans="1:2" ht="21">
      <c r="A1" s="188" t="s">
        <v>2231</v>
      </c>
      <c r="B1" s="83"/>
    </row>
    <row r="2" spans="1:2">
      <c r="A2" s="107"/>
    </row>
    <row r="3" spans="1:2">
      <c r="A3" s="67" t="s">
        <v>2232</v>
      </c>
    </row>
    <row r="4" spans="1:2">
      <c r="A4" t="s">
        <v>2233</v>
      </c>
    </row>
    <row r="5" spans="1:2">
      <c r="A5" t="s">
        <v>2234</v>
      </c>
    </row>
    <row r="7" spans="1:2">
      <c r="A7" s="67" t="s">
        <v>2235</v>
      </c>
    </row>
    <row r="8" spans="1:2">
      <c r="A8" t="s">
        <v>2236</v>
      </c>
    </row>
    <row r="10" spans="1:2">
      <c r="A10" s="67" t="s">
        <v>2237</v>
      </c>
    </row>
    <row r="11" spans="1:2">
      <c r="A11" t="s">
        <v>2238</v>
      </c>
    </row>
    <row r="13" spans="1:2">
      <c r="A13" s="67" t="s">
        <v>2239</v>
      </c>
    </row>
    <row r="14" spans="1:2">
      <c r="A14" t="s">
        <v>2240</v>
      </c>
    </row>
    <row r="16" spans="1:2">
      <c r="A16" t="s">
        <v>2241</v>
      </c>
    </row>
    <row r="18" spans="1:1">
      <c r="A18" t="s">
        <v>2242</v>
      </c>
    </row>
  </sheetData>
  <mergeCells count="1">
    <mergeCell ref="A1:B1"/>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86374-05C9-4E92-8BB3-B67B84172FC0}">
  <sheetPr>
    <tabColor rgb="FF6C7470"/>
  </sheetPr>
  <dimension ref="A1:F184"/>
  <sheetViews>
    <sheetView workbookViewId="0">
      <selection activeCell="K4" sqref="K4"/>
    </sheetView>
  </sheetViews>
  <sheetFormatPr defaultRowHeight="15"/>
  <sheetData>
    <row r="1" spans="1:6" ht="23.25">
      <c r="A1" s="82" t="s">
        <v>2243</v>
      </c>
      <c r="B1" s="96"/>
      <c r="C1" s="96"/>
      <c r="D1" s="96"/>
      <c r="E1" s="96"/>
      <c r="F1" s="96"/>
    </row>
    <row r="2" spans="1:6">
      <c r="A2" s="132" t="s">
        <v>2244</v>
      </c>
      <c r="B2" s="132"/>
      <c r="C2" s="132"/>
      <c r="D2" s="132"/>
      <c r="E2" s="132"/>
      <c r="F2" s="132"/>
    </row>
    <row r="4" spans="1:6" ht="15.75">
      <c r="A4" s="206" t="s">
        <v>2245</v>
      </c>
      <c r="B4" s="206"/>
      <c r="C4" s="206"/>
      <c r="D4" s="206"/>
      <c r="E4" s="206"/>
    </row>
    <row r="5" spans="1:6">
      <c r="A5" s="129" t="s">
        <v>2246</v>
      </c>
      <c r="B5" s="22" t="s">
        <v>2247</v>
      </c>
    </row>
    <row r="6" spans="1:6">
      <c r="A6" t="s">
        <v>496</v>
      </c>
      <c r="B6" t="s">
        <v>2248</v>
      </c>
    </row>
    <row r="7" spans="1:6" ht="15.75">
      <c r="A7" s="206" t="s">
        <v>2249</v>
      </c>
      <c r="B7" s="206"/>
      <c r="C7" s="206"/>
      <c r="D7" s="206"/>
    </row>
    <row r="8" spans="1:6">
      <c r="A8" s="22" t="s">
        <v>118</v>
      </c>
      <c r="B8" s="22" t="s">
        <v>2250</v>
      </c>
      <c r="C8" s="22" t="s">
        <v>2247</v>
      </c>
      <c r="D8" s="22" t="s">
        <v>2251</v>
      </c>
    </row>
    <row r="9" spans="1:6" ht="15.75">
      <c r="A9" s="85" t="s">
        <v>2252</v>
      </c>
      <c r="B9" s="102" t="s">
        <v>2253</v>
      </c>
      <c r="C9" s="85" t="s">
        <v>2254</v>
      </c>
      <c r="D9" s="85" t="s">
        <v>2255</v>
      </c>
    </row>
    <row r="10" spans="1:6">
      <c r="A10" s="22" t="s">
        <v>2256</v>
      </c>
      <c r="B10" s="28" t="s">
        <v>2257</v>
      </c>
      <c r="C10" s="22" t="s">
        <v>2258</v>
      </c>
      <c r="D10" s="22" t="s">
        <v>2259</v>
      </c>
    </row>
    <row r="11" spans="1:6">
      <c r="A11" s="224" t="s">
        <v>2260</v>
      </c>
      <c r="B11" s="224"/>
      <c r="C11" s="224"/>
      <c r="D11" s="224"/>
      <c r="E11" s="224"/>
    </row>
    <row r="12" spans="1:6">
      <c r="A12" t="s">
        <v>2261</v>
      </c>
      <c r="B12" s="61" t="s">
        <v>2253</v>
      </c>
      <c r="C12" t="s">
        <v>2262</v>
      </c>
      <c r="D12" t="s">
        <v>2263</v>
      </c>
    </row>
    <row r="13" spans="1:6" ht="15.75">
      <c r="A13" s="206" t="s">
        <v>2264</v>
      </c>
      <c r="B13" s="206"/>
      <c r="C13" s="206"/>
      <c r="D13" s="206"/>
      <c r="E13" s="206"/>
    </row>
    <row r="14" spans="1:6">
      <c r="A14" s="22" t="s">
        <v>2265</v>
      </c>
      <c r="B14" s="22" t="s">
        <v>2266</v>
      </c>
      <c r="C14" s="22" t="s">
        <v>2267</v>
      </c>
      <c r="D14" s="22" t="s">
        <v>2268</v>
      </c>
      <c r="E14" s="22" t="s">
        <v>28</v>
      </c>
    </row>
    <row r="15" spans="1:6">
      <c r="A15" t="s">
        <v>2269</v>
      </c>
      <c r="B15" s="61" t="s">
        <v>2270</v>
      </c>
      <c r="C15" t="s">
        <v>2271</v>
      </c>
      <c r="D15" t="s">
        <v>2272</v>
      </c>
      <c r="E15" t="s">
        <v>2273</v>
      </c>
    </row>
    <row r="16" spans="1:6">
      <c r="A16" t="s">
        <v>2274</v>
      </c>
      <c r="B16" s="28" t="s">
        <v>2275</v>
      </c>
      <c r="C16" t="s">
        <v>2276</v>
      </c>
      <c r="D16" t="s">
        <v>2272</v>
      </c>
      <c r="E16" t="s">
        <v>601</v>
      </c>
    </row>
    <row r="17" spans="1:6">
      <c r="A17" t="s">
        <v>2277</v>
      </c>
      <c r="B17" s="61" t="s">
        <v>2278</v>
      </c>
      <c r="C17" t="s">
        <v>2279</v>
      </c>
      <c r="D17" t="s">
        <v>2272</v>
      </c>
      <c r="E17" t="s">
        <v>601</v>
      </c>
    </row>
    <row r="18" spans="1:6">
      <c r="A18" s="101" t="s">
        <v>2280</v>
      </c>
      <c r="B18" s="95" t="s">
        <v>2281</v>
      </c>
      <c r="C18" s="95" t="s">
        <v>2279</v>
      </c>
      <c r="D18" s="95" t="s">
        <v>2282</v>
      </c>
      <c r="E18" s="95" t="s">
        <v>601</v>
      </c>
    </row>
    <row r="19" spans="1:6">
      <c r="A19" t="s">
        <v>2283</v>
      </c>
      <c r="B19" s="28" t="s">
        <v>2284</v>
      </c>
      <c r="C19" t="s">
        <v>2285</v>
      </c>
      <c r="D19" t="s">
        <v>2272</v>
      </c>
      <c r="E19" t="s">
        <v>601</v>
      </c>
    </row>
    <row r="20" spans="1:6">
      <c r="A20" t="s">
        <v>2286</v>
      </c>
      <c r="B20" s="28" t="s">
        <v>2287</v>
      </c>
      <c r="C20" t="s">
        <v>2279</v>
      </c>
      <c r="D20" t="s">
        <v>2272</v>
      </c>
      <c r="E20" t="s">
        <v>601</v>
      </c>
    </row>
    <row r="21" spans="1:6">
      <c r="A21" t="s">
        <v>2288</v>
      </c>
      <c r="B21" t="s">
        <v>2289</v>
      </c>
      <c r="C21" t="s">
        <v>2290</v>
      </c>
      <c r="D21" t="s">
        <v>2272</v>
      </c>
      <c r="E21" t="s">
        <v>601</v>
      </c>
    </row>
    <row r="22" spans="1:6" ht="15.75">
      <c r="A22" s="85" t="s">
        <v>2291</v>
      </c>
      <c r="B22" s="103" t="s">
        <v>2292</v>
      </c>
      <c r="C22" s="103" t="s">
        <v>2293</v>
      </c>
      <c r="D22" s="103" t="s">
        <v>2272</v>
      </c>
      <c r="E22" s="103" t="s">
        <v>601</v>
      </c>
    </row>
    <row r="23" spans="1:6">
      <c r="A23" s="22" t="s">
        <v>2294</v>
      </c>
      <c r="B23" s="22" t="s">
        <v>2295</v>
      </c>
      <c r="C23" s="22" t="s">
        <v>2279</v>
      </c>
      <c r="D23" s="22" t="s">
        <v>2296</v>
      </c>
      <c r="E23" s="22" t="s">
        <v>2297</v>
      </c>
    </row>
    <row r="24" spans="1:6">
      <c r="A24" s="225" t="s">
        <v>2298</v>
      </c>
      <c r="B24" s="225"/>
      <c r="C24" s="225"/>
      <c r="D24" s="225"/>
      <c r="E24" s="225"/>
    </row>
    <row r="25" spans="1:6">
      <c r="A25" t="s">
        <v>2299</v>
      </c>
      <c r="B25" t="s">
        <v>2300</v>
      </c>
      <c r="C25" t="s">
        <v>2301</v>
      </c>
      <c r="D25" t="s">
        <v>2272</v>
      </c>
      <c r="E25" t="s">
        <v>2253</v>
      </c>
    </row>
    <row r="26" spans="1:6" ht="15.75">
      <c r="A26" s="85" t="s">
        <v>2302</v>
      </c>
      <c r="B26" s="85"/>
      <c r="C26" s="85"/>
      <c r="D26" s="85"/>
      <c r="E26" s="85"/>
      <c r="F26" s="85"/>
    </row>
    <row r="27" spans="1:6">
      <c r="A27" s="127" t="s">
        <v>2303</v>
      </c>
      <c r="B27" s="130"/>
      <c r="C27" s="130"/>
      <c r="D27" s="130"/>
      <c r="E27" s="130"/>
      <c r="F27" s="130"/>
    </row>
    <row r="28" spans="1:6" ht="60.75">
      <c r="A28" s="197" t="s">
        <v>2304</v>
      </c>
      <c r="B28" s="197" t="s">
        <v>2266</v>
      </c>
      <c r="C28" s="197" t="s">
        <v>2305</v>
      </c>
      <c r="D28" s="197" t="s">
        <v>28</v>
      </c>
      <c r="E28" s="197" t="s">
        <v>2306</v>
      </c>
      <c r="F28" s="197" t="s">
        <v>2307</v>
      </c>
    </row>
    <row r="29" spans="1:6" ht="381.75">
      <c r="A29" s="184" t="s">
        <v>2308</v>
      </c>
      <c r="B29" s="182" t="s">
        <v>2309</v>
      </c>
      <c r="C29" s="182" t="s">
        <v>2310</v>
      </c>
      <c r="D29" s="182" t="s">
        <v>2311</v>
      </c>
      <c r="E29" s="182" t="s">
        <v>2312</v>
      </c>
      <c r="F29" s="182" t="s">
        <v>2313</v>
      </c>
    </row>
    <row r="30" spans="1:6" ht="198">
      <c r="A30" s="185" t="s">
        <v>2314</v>
      </c>
      <c r="B30" s="183" t="s">
        <v>2315</v>
      </c>
      <c r="C30" s="183" t="s">
        <v>2316</v>
      </c>
      <c r="D30" s="183" t="s">
        <v>601</v>
      </c>
      <c r="E30" s="183" t="s">
        <v>2317</v>
      </c>
      <c r="F30" s="183" t="s">
        <v>2318</v>
      </c>
    </row>
    <row r="31" spans="1:6" ht="244.5">
      <c r="A31" s="184" t="s">
        <v>2280</v>
      </c>
      <c r="B31" s="182" t="s">
        <v>2319</v>
      </c>
      <c r="C31" s="182" t="s">
        <v>2320</v>
      </c>
      <c r="D31" s="182" t="s">
        <v>601</v>
      </c>
      <c r="E31" s="182" t="s">
        <v>2317</v>
      </c>
      <c r="F31" s="182" t="s">
        <v>2321</v>
      </c>
    </row>
    <row r="32" spans="1:6" ht="244.5">
      <c r="A32" s="185" t="s">
        <v>2322</v>
      </c>
      <c r="B32" s="183" t="s">
        <v>2323</v>
      </c>
      <c r="C32" s="183" t="s">
        <v>2324</v>
      </c>
      <c r="D32" s="183" t="s">
        <v>601</v>
      </c>
      <c r="E32" s="183" t="s">
        <v>2317</v>
      </c>
      <c r="F32" s="183" t="s">
        <v>2325</v>
      </c>
    </row>
    <row r="33" spans="1:6" ht="259.5">
      <c r="A33" s="184" t="s">
        <v>2326</v>
      </c>
      <c r="B33" s="182" t="s">
        <v>2327</v>
      </c>
      <c r="C33" s="182" t="s">
        <v>2328</v>
      </c>
      <c r="D33" s="182" t="s">
        <v>601</v>
      </c>
      <c r="E33" s="182" t="s">
        <v>2317</v>
      </c>
      <c r="F33" s="182" t="s">
        <v>2329</v>
      </c>
    </row>
    <row r="34" spans="1:6" ht="213">
      <c r="A34" s="185" t="s">
        <v>2330</v>
      </c>
      <c r="B34" s="183" t="s">
        <v>2331</v>
      </c>
      <c r="C34" s="183" t="s">
        <v>2332</v>
      </c>
      <c r="D34" s="183" t="s">
        <v>2297</v>
      </c>
      <c r="E34" s="183" t="s">
        <v>2317</v>
      </c>
      <c r="F34" s="183" t="s">
        <v>2333</v>
      </c>
    </row>
    <row r="35" spans="1:6" ht="213">
      <c r="A35" s="184" t="s">
        <v>2225</v>
      </c>
      <c r="B35" s="182" t="s">
        <v>2334</v>
      </c>
      <c r="C35" s="182" t="s">
        <v>2335</v>
      </c>
      <c r="D35" s="182" t="s">
        <v>52</v>
      </c>
      <c r="E35" s="182" t="s">
        <v>2336</v>
      </c>
      <c r="F35" s="182" t="s">
        <v>2337</v>
      </c>
    </row>
    <row r="36" spans="1:6" ht="167.25">
      <c r="A36" s="185" t="s">
        <v>2338</v>
      </c>
      <c r="B36" s="183" t="s">
        <v>2339</v>
      </c>
      <c r="C36" s="183" t="s">
        <v>2340</v>
      </c>
      <c r="D36" s="183" t="s">
        <v>484</v>
      </c>
      <c r="E36" s="183" t="s">
        <v>2317</v>
      </c>
      <c r="F36" s="183" t="s">
        <v>2341</v>
      </c>
    </row>
    <row r="37" spans="1:6" ht="198">
      <c r="A37" s="184" t="s">
        <v>2342</v>
      </c>
      <c r="B37" s="182" t="s">
        <v>2343</v>
      </c>
      <c r="C37" s="182" t="s">
        <v>2344</v>
      </c>
      <c r="D37" s="182" t="s">
        <v>484</v>
      </c>
      <c r="E37" s="182" t="s">
        <v>2317</v>
      </c>
      <c r="F37" s="182" t="s">
        <v>2345</v>
      </c>
    </row>
    <row r="38" spans="1:6" ht="229.5">
      <c r="A38" s="185" t="s">
        <v>2346</v>
      </c>
      <c r="B38" s="183" t="s">
        <v>2347</v>
      </c>
      <c r="C38" s="183" t="s">
        <v>2348</v>
      </c>
      <c r="D38" s="183" t="s">
        <v>2349</v>
      </c>
      <c r="E38" s="183" t="s">
        <v>2317</v>
      </c>
      <c r="F38" s="183" t="s">
        <v>2350</v>
      </c>
    </row>
    <row r="39" spans="1:6" ht="229.5">
      <c r="A39" s="184" t="s">
        <v>2351</v>
      </c>
      <c r="B39" s="182" t="s">
        <v>2352</v>
      </c>
      <c r="C39" s="182" t="s">
        <v>2353</v>
      </c>
      <c r="D39" s="182" t="s">
        <v>484</v>
      </c>
      <c r="E39" s="182" t="s">
        <v>2354</v>
      </c>
      <c r="F39" s="182" t="s">
        <v>2355</v>
      </c>
    </row>
    <row r="40" spans="1:6" ht="15.75">
      <c r="A40" s="134"/>
      <c r="B40" s="134"/>
      <c r="C40" s="134"/>
      <c r="D40" s="134"/>
      <c r="E40" s="128"/>
      <c r="F40" s="128"/>
    </row>
    <row r="41" spans="1:6" ht="15.75">
      <c r="A41" s="206" t="s">
        <v>2356</v>
      </c>
      <c r="B41" s="226"/>
      <c r="C41" s="226"/>
      <c r="D41" s="226"/>
      <c r="E41" s="226"/>
      <c r="F41" s="128"/>
    </row>
    <row r="42" spans="1:6">
      <c r="A42" s="35" t="s">
        <v>2357</v>
      </c>
      <c r="B42" s="35" t="s">
        <v>2358</v>
      </c>
      <c r="C42" s="35" t="s">
        <v>2359</v>
      </c>
      <c r="D42" s="35" t="s">
        <v>2360</v>
      </c>
      <c r="E42" s="35" t="s">
        <v>2361</v>
      </c>
      <c r="F42" s="92"/>
    </row>
    <row r="43" spans="1:6">
      <c r="A43" s="126" t="s">
        <v>2272</v>
      </c>
      <c r="B43" s="109" t="s">
        <v>2362</v>
      </c>
      <c r="C43" s="109" t="s">
        <v>2363</v>
      </c>
      <c r="D43" s="109" t="s">
        <v>2364</v>
      </c>
      <c r="E43" s="109" t="s">
        <v>2365</v>
      </c>
      <c r="F43" s="92"/>
    </row>
    <row r="44" spans="1:6">
      <c r="A44" s="163" t="s">
        <v>2366</v>
      </c>
      <c r="B44" s="162" t="s">
        <v>2367</v>
      </c>
      <c r="C44" s="162" t="s">
        <v>2368</v>
      </c>
      <c r="D44" s="162" t="s">
        <v>2369</v>
      </c>
      <c r="E44" s="162" t="s">
        <v>2370</v>
      </c>
      <c r="F44" s="92"/>
    </row>
    <row r="45" spans="1:6">
      <c r="A45" s="126" t="s">
        <v>2371</v>
      </c>
      <c r="B45" s="109" t="s">
        <v>2372</v>
      </c>
      <c r="C45" s="109" t="s">
        <v>2373</v>
      </c>
      <c r="D45" s="109" t="s">
        <v>2374</v>
      </c>
      <c r="E45" s="109" t="s">
        <v>2375</v>
      </c>
      <c r="F45" s="92"/>
    </row>
    <row r="46" spans="1:6">
      <c r="A46" s="163" t="s">
        <v>2376</v>
      </c>
      <c r="B46" s="162" t="s">
        <v>2377</v>
      </c>
      <c r="C46" s="162" t="s">
        <v>2378</v>
      </c>
      <c r="D46" s="162" t="s">
        <v>2379</v>
      </c>
      <c r="E46" s="162" t="s">
        <v>2380</v>
      </c>
      <c r="F46" s="92"/>
    </row>
    <row r="47" spans="1:6">
      <c r="A47" s="126" t="s">
        <v>2381</v>
      </c>
      <c r="B47" s="109" t="s">
        <v>2382</v>
      </c>
      <c r="C47" s="109" t="s">
        <v>2383</v>
      </c>
      <c r="D47" s="109" t="s">
        <v>2384</v>
      </c>
      <c r="E47" s="109" t="s">
        <v>2385</v>
      </c>
      <c r="F47" s="92"/>
    </row>
    <row r="48" spans="1:6" ht="15.75">
      <c r="A48" s="91"/>
      <c r="B48" s="91"/>
      <c r="C48" s="92"/>
      <c r="D48" s="92"/>
      <c r="E48" s="92"/>
      <c r="F48" s="92"/>
    </row>
    <row r="49" spans="1:6" ht="15.75">
      <c r="A49" s="206" t="s">
        <v>2386</v>
      </c>
      <c r="B49" s="206"/>
      <c r="C49" s="206"/>
      <c r="D49" s="206"/>
      <c r="E49" s="92"/>
      <c r="F49" s="92"/>
    </row>
    <row r="50" spans="1:6">
      <c r="A50" s="112" t="s">
        <v>292</v>
      </c>
      <c r="B50" s="112" t="s">
        <v>2387</v>
      </c>
      <c r="C50" s="112" t="s">
        <v>2388</v>
      </c>
      <c r="D50" s="112" t="s">
        <v>2389</v>
      </c>
      <c r="E50" s="92"/>
      <c r="F50" s="92"/>
    </row>
    <row r="51" spans="1:6">
      <c r="A51" s="109" t="s">
        <v>2390</v>
      </c>
      <c r="B51" s="109" t="s">
        <v>2391</v>
      </c>
      <c r="C51" s="109" t="s">
        <v>2392</v>
      </c>
      <c r="D51" s="109" t="s">
        <v>2393</v>
      </c>
      <c r="E51" s="115"/>
      <c r="F51" s="92"/>
    </row>
    <row r="52" spans="1:6">
      <c r="A52" s="109" t="s">
        <v>2394</v>
      </c>
      <c r="B52" s="109" t="s">
        <v>2395</v>
      </c>
      <c r="C52" s="109" t="s">
        <v>2396</v>
      </c>
      <c r="D52" s="109" t="s">
        <v>2397</v>
      </c>
      <c r="E52" s="92"/>
      <c r="F52" s="92"/>
    </row>
    <row r="53" spans="1:6" ht="15.75">
      <c r="A53" s="109" t="s">
        <v>2398</v>
      </c>
      <c r="B53" s="109" t="s">
        <v>2399</v>
      </c>
      <c r="C53" s="109" t="s">
        <v>2400</v>
      </c>
      <c r="D53" s="109" t="s">
        <v>2401</v>
      </c>
      <c r="E53" s="91"/>
      <c r="F53" s="92"/>
    </row>
    <row r="54" spans="1:6">
      <c r="A54" s="109"/>
      <c r="B54" s="109"/>
      <c r="C54" s="114"/>
      <c r="D54" s="114"/>
      <c r="E54" s="114"/>
      <c r="F54" s="92"/>
    </row>
    <row r="55" spans="1:6" ht="15.75">
      <c r="A55" s="206" t="s">
        <v>2402</v>
      </c>
      <c r="B55" s="206"/>
      <c r="C55" s="206"/>
      <c r="D55" s="206"/>
      <c r="E55" s="206"/>
      <c r="F55" s="92"/>
    </row>
    <row r="56" spans="1:6">
      <c r="A56" s="112" t="s">
        <v>2403</v>
      </c>
      <c r="B56" s="112" t="s">
        <v>2404</v>
      </c>
      <c r="C56" s="112" t="s">
        <v>2405</v>
      </c>
      <c r="D56" s="112" t="s">
        <v>2406</v>
      </c>
      <c r="E56" s="112" t="s">
        <v>2407</v>
      </c>
      <c r="F56" s="92"/>
    </row>
    <row r="57" spans="1:6">
      <c r="A57" s="61" t="s">
        <v>2253</v>
      </c>
      <c r="B57" s="109" t="s">
        <v>2408</v>
      </c>
      <c r="C57" s="109" t="s">
        <v>2409</v>
      </c>
      <c r="D57" s="109" t="s">
        <v>2410</v>
      </c>
      <c r="E57" s="109" t="s">
        <v>2411</v>
      </c>
      <c r="F57" s="92"/>
    </row>
    <row r="58" spans="1:6">
      <c r="A58" s="28" t="s">
        <v>2257</v>
      </c>
      <c r="B58" s="109" t="s">
        <v>2412</v>
      </c>
      <c r="C58" s="109" t="s">
        <v>2413</v>
      </c>
      <c r="D58" s="109" t="s">
        <v>2414</v>
      </c>
      <c r="E58" s="109" t="s">
        <v>2415</v>
      </c>
      <c r="F58" s="92"/>
    </row>
    <row r="59" spans="1:6">
      <c r="A59" s="109" t="s">
        <v>2416</v>
      </c>
      <c r="B59" s="109" t="s">
        <v>2417</v>
      </c>
      <c r="C59" s="109" t="s">
        <v>2418</v>
      </c>
      <c r="D59" s="109" t="s">
        <v>2419</v>
      </c>
      <c r="E59" s="109" t="s">
        <v>2420</v>
      </c>
      <c r="F59" s="92"/>
    </row>
    <row r="60" spans="1:6" ht="15.75">
      <c r="A60" s="135" t="s">
        <v>2421</v>
      </c>
      <c r="B60" s="109" t="s">
        <v>2422</v>
      </c>
      <c r="C60" s="109" t="s">
        <v>2423</v>
      </c>
      <c r="D60" s="109" t="s">
        <v>2424</v>
      </c>
      <c r="E60" s="109" t="s">
        <v>2425</v>
      </c>
      <c r="F60" s="92"/>
    </row>
    <row r="61" spans="1:6">
      <c r="A61" s="114"/>
      <c r="B61" s="114"/>
      <c r="C61" s="114"/>
      <c r="D61" s="114"/>
      <c r="E61" s="92"/>
      <c r="F61" s="92"/>
    </row>
    <row r="62" spans="1:6" ht="15.75">
      <c r="A62" s="206" t="s">
        <v>2426</v>
      </c>
      <c r="B62" s="206"/>
      <c r="C62" s="206"/>
      <c r="D62" s="206"/>
      <c r="E62" s="206"/>
      <c r="F62" s="206"/>
    </row>
    <row r="63" spans="1:6">
      <c r="A63" s="110" t="s">
        <v>2427</v>
      </c>
      <c r="B63" s="92"/>
      <c r="C63" s="92"/>
      <c r="D63" s="92"/>
      <c r="E63" s="92"/>
      <c r="F63" s="92"/>
    </row>
    <row r="64" spans="1:6">
      <c r="A64" s="109" t="s">
        <v>2428</v>
      </c>
      <c r="B64" s="114"/>
      <c r="C64" s="114"/>
      <c r="D64" s="114"/>
      <c r="E64" s="114"/>
      <c r="F64" s="114"/>
    </row>
    <row r="65" spans="1:6">
      <c r="A65" s="109" t="s">
        <v>2429</v>
      </c>
      <c r="B65" s="92"/>
      <c r="C65" s="92"/>
      <c r="D65" s="92"/>
      <c r="E65" s="92"/>
      <c r="F65" s="92"/>
    </row>
    <row r="66" spans="1:6">
      <c r="A66" s="110" t="s">
        <v>2430</v>
      </c>
      <c r="B66" s="128"/>
      <c r="C66" s="128"/>
      <c r="D66" s="128"/>
      <c r="E66" s="92"/>
      <c r="F66" s="92"/>
    </row>
    <row r="67" spans="1:6" ht="15.75">
      <c r="A67" s="127" t="s">
        <v>2431</v>
      </c>
      <c r="B67" s="91"/>
      <c r="C67" s="91"/>
      <c r="D67" s="92"/>
      <c r="E67" s="92"/>
      <c r="F67" s="92"/>
    </row>
    <row r="68" spans="1:6" ht="15.75">
      <c r="A68" s="91"/>
      <c r="B68" s="91"/>
      <c r="C68" s="91"/>
      <c r="D68" s="91"/>
      <c r="E68" s="91"/>
      <c r="F68" s="92"/>
    </row>
    <row r="69" spans="1:6" ht="15.75">
      <c r="A69" s="206" t="s">
        <v>2432</v>
      </c>
      <c r="B69" s="226"/>
      <c r="C69" s="226"/>
      <c r="D69" s="226"/>
      <c r="E69" s="226"/>
      <c r="F69" s="226"/>
    </row>
    <row r="70" spans="1:6">
      <c r="A70" s="130" t="s">
        <v>2433</v>
      </c>
      <c r="B70" s="114"/>
      <c r="C70" s="114"/>
      <c r="D70" s="114"/>
      <c r="E70" s="114"/>
      <c r="F70" s="92"/>
    </row>
    <row r="71" spans="1:6">
      <c r="A71" s="112" t="s">
        <v>2225</v>
      </c>
      <c r="B71" s="112" t="s">
        <v>2266</v>
      </c>
      <c r="C71" s="112" t="s">
        <v>2434</v>
      </c>
      <c r="D71" s="112" t="s">
        <v>2435</v>
      </c>
      <c r="E71" s="112" t="s">
        <v>2436</v>
      </c>
      <c r="F71" s="112" t="s">
        <v>2437</v>
      </c>
    </row>
    <row r="72" spans="1:6">
      <c r="A72" s="61" t="s">
        <v>338</v>
      </c>
      <c r="B72" s="92" t="s">
        <v>2438</v>
      </c>
      <c r="C72" s="92" t="s">
        <v>2439</v>
      </c>
      <c r="D72" s="92" t="s">
        <v>2440</v>
      </c>
      <c r="E72" s="92" t="s">
        <v>2441</v>
      </c>
      <c r="F72" s="92" t="s">
        <v>52</v>
      </c>
    </row>
    <row r="73" spans="1:6">
      <c r="A73" s="136" t="s">
        <v>340</v>
      </c>
      <c r="B73" s="92" t="s">
        <v>2442</v>
      </c>
      <c r="C73" s="92" t="s">
        <v>2443</v>
      </c>
      <c r="D73" s="92" t="s">
        <v>2444</v>
      </c>
      <c r="E73" s="92" t="s">
        <v>2441</v>
      </c>
      <c r="F73" s="92" t="s">
        <v>2445</v>
      </c>
    </row>
    <row r="74" spans="1:6">
      <c r="A74" s="133" t="s">
        <v>342</v>
      </c>
      <c r="B74" s="92" t="s">
        <v>2446</v>
      </c>
      <c r="C74" s="92" t="s">
        <v>2447</v>
      </c>
      <c r="D74" s="92" t="s">
        <v>2448</v>
      </c>
      <c r="E74" s="92" t="s">
        <v>2449</v>
      </c>
      <c r="F74" s="92" t="s">
        <v>2450</v>
      </c>
    </row>
    <row r="75" spans="1:6">
      <c r="A75" s="131" t="s">
        <v>344</v>
      </c>
      <c r="B75" s="92" t="s">
        <v>2451</v>
      </c>
      <c r="C75" s="92" t="s">
        <v>2452</v>
      </c>
      <c r="D75" s="92" t="s">
        <v>2453</v>
      </c>
      <c r="E75" s="92" t="s">
        <v>2454</v>
      </c>
      <c r="F75" s="92" t="s">
        <v>2455</v>
      </c>
    </row>
    <row r="76" spans="1:6" ht="15.75">
      <c r="A76" s="130" t="s">
        <v>2456</v>
      </c>
      <c r="B76" s="91"/>
      <c r="C76" s="91"/>
      <c r="D76" s="91"/>
      <c r="E76" s="91"/>
      <c r="F76" s="92"/>
    </row>
    <row r="77" spans="1:6" ht="15.75">
      <c r="A77" s="137" t="s">
        <v>2457</v>
      </c>
      <c r="B77" s="91"/>
      <c r="C77" s="91"/>
      <c r="D77" s="91"/>
      <c r="E77" s="114"/>
      <c r="F77" s="92"/>
    </row>
    <row r="78" spans="1:6">
      <c r="A78" s="130"/>
      <c r="B78" s="114"/>
      <c r="C78" s="114"/>
      <c r="D78" s="114"/>
      <c r="E78" s="92"/>
      <c r="F78" s="92"/>
    </row>
    <row r="79" spans="1:6" ht="15.75">
      <c r="A79" s="206" t="s">
        <v>2458</v>
      </c>
      <c r="B79" s="206"/>
      <c r="C79" s="206"/>
      <c r="D79" s="206"/>
      <c r="E79" s="206"/>
      <c r="F79" s="92"/>
    </row>
    <row r="80" spans="1:6">
      <c r="A80" s="150" t="s">
        <v>2459</v>
      </c>
      <c r="B80" s="114"/>
      <c r="C80" s="114"/>
      <c r="D80" s="114"/>
      <c r="E80" s="114"/>
      <c r="F80" s="92"/>
    </row>
    <row r="81" spans="1:6">
      <c r="A81" s="112" t="s">
        <v>2460</v>
      </c>
      <c r="B81" s="112" t="s">
        <v>2461</v>
      </c>
      <c r="C81" s="112" t="s">
        <v>2462</v>
      </c>
      <c r="D81" s="112" t="s">
        <v>2463</v>
      </c>
      <c r="E81" s="112" t="s">
        <v>2464</v>
      </c>
      <c r="F81" s="92"/>
    </row>
    <row r="82" spans="1:6">
      <c r="A82" s="109" t="s">
        <v>601</v>
      </c>
      <c r="B82" s="109" t="s">
        <v>2465</v>
      </c>
      <c r="C82" s="109" t="s">
        <v>2466</v>
      </c>
      <c r="D82" s="109" t="s">
        <v>2467</v>
      </c>
      <c r="E82" s="109" t="s">
        <v>2468</v>
      </c>
      <c r="F82" s="92"/>
    </row>
    <row r="83" spans="1:6">
      <c r="A83" s="109" t="s">
        <v>1323</v>
      </c>
      <c r="B83" s="109" t="s">
        <v>2469</v>
      </c>
      <c r="C83" s="109" t="s">
        <v>2470</v>
      </c>
      <c r="D83" s="109" t="s">
        <v>2471</v>
      </c>
      <c r="E83" s="109" t="s">
        <v>2472</v>
      </c>
      <c r="F83" s="92"/>
    </row>
    <row r="84" spans="1:6">
      <c r="A84" s="109" t="s">
        <v>1335</v>
      </c>
      <c r="B84" s="109" t="s">
        <v>2473</v>
      </c>
      <c r="C84" s="109" t="s">
        <v>2474</v>
      </c>
      <c r="D84" s="109" t="s">
        <v>2475</v>
      </c>
      <c r="E84" s="109" t="s">
        <v>2476</v>
      </c>
      <c r="F84" s="92"/>
    </row>
    <row r="85" spans="1:6">
      <c r="A85" s="109" t="s">
        <v>2477</v>
      </c>
      <c r="B85" s="109" t="s">
        <v>2478</v>
      </c>
      <c r="C85" s="109" t="s">
        <v>2479</v>
      </c>
      <c r="D85" s="109" t="s">
        <v>2480</v>
      </c>
      <c r="E85" s="109" t="s">
        <v>2481</v>
      </c>
      <c r="F85" s="92"/>
    </row>
    <row r="86" spans="1:6" ht="15.75">
      <c r="A86" s="145" t="s">
        <v>2482</v>
      </c>
      <c r="B86" s="135" t="s">
        <v>2483</v>
      </c>
      <c r="C86" s="135" t="s">
        <v>2484</v>
      </c>
      <c r="D86" s="135" t="s">
        <v>2485</v>
      </c>
      <c r="E86" s="135" t="s">
        <v>2486</v>
      </c>
      <c r="F86" s="92"/>
    </row>
    <row r="87" spans="1:6" ht="15.75">
      <c r="A87" s="130" t="s">
        <v>2487</v>
      </c>
      <c r="B87" s="91"/>
      <c r="C87" s="91"/>
      <c r="D87" s="91"/>
      <c r="E87" s="114"/>
      <c r="F87" s="92"/>
    </row>
    <row r="88" spans="1:6" ht="15.75">
      <c r="A88" s="91"/>
      <c r="B88" s="91"/>
      <c r="C88" s="91"/>
      <c r="D88" s="91"/>
      <c r="E88" s="91"/>
      <c r="F88" s="91"/>
    </row>
    <row r="89" spans="1:6" ht="15.75">
      <c r="A89" s="226" t="s">
        <v>2488</v>
      </c>
      <c r="B89" s="226"/>
      <c r="C89" s="226"/>
      <c r="D89" s="226"/>
      <c r="E89" s="226"/>
      <c r="F89" s="226"/>
    </row>
    <row r="90" spans="1:6">
      <c r="A90" s="227" t="s">
        <v>2489</v>
      </c>
      <c r="B90" s="227"/>
      <c r="C90" s="227"/>
      <c r="D90" s="227"/>
      <c r="E90" s="227"/>
      <c r="F90" s="227"/>
    </row>
    <row r="91" spans="1:6">
      <c r="A91" s="112" t="s">
        <v>2490</v>
      </c>
      <c r="B91" s="112" t="s">
        <v>213</v>
      </c>
      <c r="C91" s="112" t="s">
        <v>2491</v>
      </c>
      <c r="D91" s="112" t="s">
        <v>2492</v>
      </c>
      <c r="E91" s="112" t="s">
        <v>2493</v>
      </c>
      <c r="F91" s="112" t="s">
        <v>2494</v>
      </c>
    </row>
    <row r="92" spans="1:6">
      <c r="A92" s="109">
        <v>1</v>
      </c>
      <c r="B92" s="109" t="s">
        <v>2495</v>
      </c>
      <c r="C92" s="109" t="s">
        <v>2496</v>
      </c>
      <c r="D92" s="109" t="s">
        <v>2497</v>
      </c>
      <c r="E92" s="109" t="s">
        <v>2498</v>
      </c>
      <c r="F92" s="109" t="s">
        <v>500</v>
      </c>
    </row>
    <row r="93" spans="1:6">
      <c r="A93" s="109">
        <v>2</v>
      </c>
      <c r="B93" s="109" t="s">
        <v>2499</v>
      </c>
      <c r="C93" s="109" t="s">
        <v>2500</v>
      </c>
      <c r="D93" s="109" t="s">
        <v>2501</v>
      </c>
      <c r="E93" s="109" t="s">
        <v>2502</v>
      </c>
      <c r="F93" s="109" t="s">
        <v>2503</v>
      </c>
    </row>
    <row r="94" spans="1:6">
      <c r="A94" s="109">
        <v>3</v>
      </c>
      <c r="B94" s="109" t="s">
        <v>2504</v>
      </c>
      <c r="C94" s="109" t="s">
        <v>2500</v>
      </c>
      <c r="D94" s="109" t="s">
        <v>2505</v>
      </c>
      <c r="E94" s="109" t="s">
        <v>2506</v>
      </c>
      <c r="F94" s="109" t="s">
        <v>2507</v>
      </c>
    </row>
    <row r="95" spans="1:6">
      <c r="A95" s="109">
        <v>4</v>
      </c>
      <c r="B95" s="109" t="s">
        <v>2508</v>
      </c>
      <c r="C95" s="109" t="s">
        <v>2509</v>
      </c>
      <c r="D95" s="109" t="s">
        <v>2510</v>
      </c>
      <c r="E95" s="109" t="s">
        <v>2511</v>
      </c>
      <c r="F95" s="109" t="s">
        <v>857</v>
      </c>
    </row>
    <row r="96" spans="1:6">
      <c r="A96" s="109">
        <v>5</v>
      </c>
      <c r="B96" s="109" t="s">
        <v>2512</v>
      </c>
      <c r="C96" s="109" t="s">
        <v>2513</v>
      </c>
      <c r="D96" s="109" t="s">
        <v>2514</v>
      </c>
      <c r="E96" s="109" t="s">
        <v>2515</v>
      </c>
      <c r="F96" s="109" t="s">
        <v>53</v>
      </c>
    </row>
    <row r="97" spans="1:6">
      <c r="A97" s="109">
        <v>6</v>
      </c>
      <c r="B97" s="109" t="s">
        <v>2516</v>
      </c>
      <c r="C97" s="109" t="s">
        <v>2517</v>
      </c>
      <c r="D97" s="109" t="s">
        <v>2518</v>
      </c>
      <c r="E97" s="109" t="s">
        <v>2519</v>
      </c>
      <c r="F97" s="109" t="s">
        <v>2520</v>
      </c>
    </row>
    <row r="98" spans="1:6">
      <c r="A98" s="109">
        <v>7</v>
      </c>
      <c r="B98" s="109" t="s">
        <v>2521</v>
      </c>
      <c r="C98" s="109" t="s">
        <v>2522</v>
      </c>
      <c r="D98" s="109" t="s">
        <v>2523</v>
      </c>
      <c r="E98" s="109" t="s">
        <v>2524</v>
      </c>
      <c r="F98" s="109" t="s">
        <v>2525</v>
      </c>
    </row>
    <row r="99" spans="1:6">
      <c r="A99" s="109">
        <v>8</v>
      </c>
      <c r="B99" s="109" t="s">
        <v>2526</v>
      </c>
      <c r="C99" s="109" t="s">
        <v>2527</v>
      </c>
      <c r="D99" s="109" t="s">
        <v>2528</v>
      </c>
      <c r="E99" s="109" t="s">
        <v>2529</v>
      </c>
      <c r="F99" s="109" t="s">
        <v>2530</v>
      </c>
    </row>
    <row r="100" spans="1:6">
      <c r="A100" s="228" t="s">
        <v>2531</v>
      </c>
      <c r="B100" s="228"/>
      <c r="C100" s="228"/>
      <c r="D100" s="228"/>
      <c r="E100" s="228"/>
      <c r="F100" s="228"/>
    </row>
    <row r="101" spans="1:6" ht="15.75">
      <c r="A101" s="91"/>
      <c r="B101" s="91"/>
      <c r="C101" s="91"/>
      <c r="D101" s="91"/>
      <c r="E101" s="91"/>
      <c r="F101" s="92"/>
    </row>
    <row r="102" spans="1:6" ht="15.75">
      <c r="A102" s="206" t="s">
        <v>2532</v>
      </c>
      <c r="B102" s="206"/>
      <c r="C102" s="206"/>
      <c r="D102" s="206"/>
      <c r="E102" s="206"/>
      <c r="F102" s="206"/>
    </row>
    <row r="103" spans="1:6">
      <c r="A103" s="229" t="s">
        <v>2533</v>
      </c>
      <c r="B103" s="229"/>
      <c r="C103" s="229"/>
      <c r="D103" s="229"/>
      <c r="E103" s="229"/>
      <c r="F103" s="229"/>
    </row>
    <row r="104" spans="1:6">
      <c r="A104" s="126" t="s">
        <v>2534</v>
      </c>
      <c r="B104" s="93"/>
      <c r="C104" s="93"/>
      <c r="D104" s="92"/>
      <c r="E104" s="92"/>
      <c r="F104" s="92"/>
    </row>
    <row r="105" spans="1:6">
      <c r="A105" s="112" t="s">
        <v>2535</v>
      </c>
      <c r="B105" s="112" t="s">
        <v>2536</v>
      </c>
      <c r="C105" s="112" t="s">
        <v>2537</v>
      </c>
      <c r="D105" s="112" t="s">
        <v>2538</v>
      </c>
      <c r="E105" s="112" t="s">
        <v>2539</v>
      </c>
      <c r="F105" s="92"/>
    </row>
    <row r="106" spans="1:6">
      <c r="A106" s="92" t="s">
        <v>2540</v>
      </c>
      <c r="B106" s="93" t="s">
        <v>52</v>
      </c>
      <c r="C106" s="93" t="s">
        <v>2541</v>
      </c>
      <c r="D106" s="92" t="s">
        <v>2542</v>
      </c>
      <c r="E106" s="92" t="s">
        <v>2543</v>
      </c>
      <c r="F106" s="92"/>
    </row>
    <row r="107" spans="1:6">
      <c r="A107" s="92" t="s">
        <v>2544</v>
      </c>
      <c r="B107" s="93" t="s">
        <v>2545</v>
      </c>
      <c r="C107" s="93" t="s">
        <v>2546</v>
      </c>
      <c r="D107" s="92" t="s">
        <v>2547</v>
      </c>
      <c r="E107" s="92" t="s">
        <v>2548</v>
      </c>
      <c r="F107" s="92"/>
    </row>
    <row r="108" spans="1:6">
      <c r="A108" s="92" t="s">
        <v>2549</v>
      </c>
      <c r="B108" s="93" t="s">
        <v>470</v>
      </c>
      <c r="C108" s="93" t="s">
        <v>1944</v>
      </c>
      <c r="D108" s="92" t="s">
        <v>2550</v>
      </c>
      <c r="E108" s="92" t="s">
        <v>2551</v>
      </c>
      <c r="F108" s="92"/>
    </row>
    <row r="109" spans="1:6" ht="15.75">
      <c r="A109" s="135" t="s">
        <v>2552</v>
      </c>
      <c r="B109" s="135" t="s">
        <v>470</v>
      </c>
      <c r="C109" s="135" t="s">
        <v>2553</v>
      </c>
      <c r="D109" s="135" t="s">
        <v>38</v>
      </c>
      <c r="E109" s="109" t="s">
        <v>2554</v>
      </c>
      <c r="F109" s="92"/>
    </row>
    <row r="110" spans="1:6">
      <c r="A110" s="28" t="s">
        <v>2555</v>
      </c>
      <c r="B110" s="28" t="s">
        <v>470</v>
      </c>
      <c r="C110" s="93" t="s">
        <v>2556</v>
      </c>
      <c r="D110" s="92" t="s">
        <v>43</v>
      </c>
      <c r="E110" s="92" t="s">
        <v>2557</v>
      </c>
      <c r="F110" s="92"/>
    </row>
    <row r="111" spans="1:6">
      <c r="A111" s="92" t="s">
        <v>2558</v>
      </c>
      <c r="B111" s="92" t="s">
        <v>52</v>
      </c>
      <c r="C111" s="92" t="s">
        <v>2559</v>
      </c>
      <c r="D111" s="92" t="s">
        <v>193</v>
      </c>
      <c r="E111" s="92" t="s">
        <v>2560</v>
      </c>
      <c r="F111" s="92"/>
    </row>
    <row r="112" spans="1:6" ht="15.75">
      <c r="A112" s="91" t="s">
        <v>2561</v>
      </c>
      <c r="B112" s="91" t="s">
        <v>2562</v>
      </c>
      <c r="C112" s="91" t="s">
        <v>2563</v>
      </c>
      <c r="D112" s="92" t="s">
        <v>2564</v>
      </c>
      <c r="E112" s="92"/>
      <c r="F112" s="92"/>
    </row>
    <row r="113" spans="1:6">
      <c r="A113" s="126" t="s">
        <v>2565</v>
      </c>
      <c r="B113" s="92" t="s">
        <v>2566</v>
      </c>
      <c r="C113" s="92" t="s">
        <v>2563</v>
      </c>
      <c r="D113" s="92" t="s">
        <v>2567</v>
      </c>
      <c r="E113" s="92"/>
      <c r="F113" s="92"/>
    </row>
    <row r="114" spans="1:6">
      <c r="A114" s="151" t="s">
        <v>2568</v>
      </c>
      <c r="B114" s="151" t="s">
        <v>2569</v>
      </c>
      <c r="C114" s="151" t="s">
        <v>2570</v>
      </c>
      <c r="D114" s="151" t="s">
        <v>2437</v>
      </c>
      <c r="E114" s="112" t="s">
        <v>2571</v>
      </c>
      <c r="F114" s="112" t="s">
        <v>2572</v>
      </c>
    </row>
    <row r="115" spans="1:6">
      <c r="A115" s="92" t="s">
        <v>2573</v>
      </c>
      <c r="B115" s="92" t="s">
        <v>484</v>
      </c>
      <c r="C115" s="92" t="s">
        <v>2574</v>
      </c>
      <c r="D115" s="92" t="s">
        <v>52</v>
      </c>
      <c r="E115" s="92" t="s">
        <v>2575</v>
      </c>
      <c r="F115" s="92" t="s">
        <v>2576</v>
      </c>
    </row>
    <row r="116" spans="1:6" ht="15.75">
      <c r="A116" s="85" t="s">
        <v>2577</v>
      </c>
      <c r="B116" s="135" t="s">
        <v>2273</v>
      </c>
      <c r="C116" s="135" t="s">
        <v>52</v>
      </c>
      <c r="D116" s="92" t="s">
        <v>2578</v>
      </c>
      <c r="E116" s="92" t="s">
        <v>2579</v>
      </c>
      <c r="F116" s="92" t="s">
        <v>2580</v>
      </c>
    </row>
    <row r="117" spans="1:6">
      <c r="A117" s="112" t="s">
        <v>2581</v>
      </c>
      <c r="B117" s="112" t="s">
        <v>52</v>
      </c>
      <c r="C117" s="112" t="s">
        <v>52</v>
      </c>
      <c r="D117" s="92" t="s">
        <v>2582</v>
      </c>
      <c r="E117" s="92" t="s">
        <v>2583</v>
      </c>
      <c r="F117" s="92" t="s">
        <v>53</v>
      </c>
    </row>
    <row r="118" spans="1:6">
      <c r="A118" s="92" t="s">
        <v>2584</v>
      </c>
      <c r="B118" s="92" t="s">
        <v>601</v>
      </c>
      <c r="C118" s="3" t="s">
        <v>2585</v>
      </c>
      <c r="D118" s="92" t="s">
        <v>2586</v>
      </c>
      <c r="E118" s="92" t="s">
        <v>2583</v>
      </c>
      <c r="F118" s="92" t="s">
        <v>526</v>
      </c>
    </row>
    <row r="119" spans="1:6">
      <c r="A119" s="92" t="s">
        <v>47</v>
      </c>
      <c r="B119" s="92" t="s">
        <v>2587</v>
      </c>
      <c r="C119" s="3" t="s">
        <v>2588</v>
      </c>
      <c r="D119" s="92" t="s">
        <v>2589</v>
      </c>
      <c r="E119" s="92" t="s">
        <v>2590</v>
      </c>
      <c r="F119" s="92" t="s">
        <v>48</v>
      </c>
    </row>
    <row r="120" spans="1:6" ht="15.75">
      <c r="A120" s="91" t="s">
        <v>2591</v>
      </c>
      <c r="B120" s="91" t="s">
        <v>52</v>
      </c>
      <c r="C120" s="88" t="s">
        <v>52</v>
      </c>
      <c r="D120" s="91" t="s">
        <v>2592</v>
      </c>
      <c r="E120" s="91" t="s">
        <v>2593</v>
      </c>
      <c r="F120" s="91" t="s">
        <v>2594</v>
      </c>
    </row>
    <row r="121" spans="1:6">
      <c r="A121" s="22" t="s">
        <v>2595</v>
      </c>
      <c r="B121" s="22" t="s">
        <v>484</v>
      </c>
      <c r="C121" s="86" t="s">
        <v>2445</v>
      </c>
      <c r="D121" s="22" t="s">
        <v>2596</v>
      </c>
      <c r="E121" s="22" t="s">
        <v>2597</v>
      </c>
      <c r="F121" s="22" t="s">
        <v>2598</v>
      </c>
    </row>
    <row r="122" spans="1:6">
      <c r="A122" t="s">
        <v>2599</v>
      </c>
      <c r="B122" t="s">
        <v>2600</v>
      </c>
      <c r="C122" s="3" t="s">
        <v>52</v>
      </c>
      <c r="D122" t="s">
        <v>2601</v>
      </c>
      <c r="E122" t="s">
        <v>2602</v>
      </c>
      <c r="F122" t="s">
        <v>2603</v>
      </c>
    </row>
    <row r="123" spans="1:6">
      <c r="A123" t="s">
        <v>2604</v>
      </c>
      <c r="B123" t="s">
        <v>52</v>
      </c>
      <c r="C123" s="3"/>
    </row>
    <row r="124" spans="1:6">
      <c r="A124" s="215" t="s">
        <v>2605</v>
      </c>
      <c r="B124" s="215"/>
      <c r="C124" s="215"/>
    </row>
    <row r="125" spans="1:6">
      <c r="A125" s="112" t="s">
        <v>2606</v>
      </c>
      <c r="B125" s="112" t="s">
        <v>2607</v>
      </c>
      <c r="C125" s="112" t="s">
        <v>2608</v>
      </c>
    </row>
    <row r="126" spans="1:6">
      <c r="A126" t="s">
        <v>2609</v>
      </c>
      <c r="B126" t="s">
        <v>2610</v>
      </c>
      <c r="C126" t="s">
        <v>2611</v>
      </c>
    </row>
    <row r="127" spans="1:6" ht="15.75">
      <c r="A127" s="85" t="s">
        <v>2612</v>
      </c>
      <c r="B127" s="135" t="s">
        <v>2613</v>
      </c>
      <c r="C127" s="135" t="s">
        <v>2614</v>
      </c>
    </row>
    <row r="128" spans="1:6">
      <c r="A128" t="s">
        <v>2615</v>
      </c>
      <c r="B128" t="s">
        <v>2616</v>
      </c>
      <c r="C128" t="s">
        <v>2617</v>
      </c>
    </row>
    <row r="129" spans="1:4">
      <c r="A129" t="s">
        <v>2618</v>
      </c>
      <c r="B129" t="s">
        <v>2619</v>
      </c>
      <c r="C129" t="s">
        <v>2620</v>
      </c>
    </row>
    <row r="131" spans="1:4" ht="15.75">
      <c r="A131" s="206" t="s">
        <v>2621</v>
      </c>
      <c r="B131" s="206"/>
      <c r="C131" s="206"/>
      <c r="D131" s="206"/>
    </row>
    <row r="132" spans="1:4">
      <c r="A132" s="28" t="s">
        <v>1007</v>
      </c>
      <c r="B132" s="28" t="s">
        <v>2622</v>
      </c>
      <c r="C132" s="28" t="s">
        <v>2623</v>
      </c>
      <c r="D132" s="28" t="s">
        <v>2624</v>
      </c>
    </row>
    <row r="133" spans="1:4">
      <c r="A133" s="54" t="s">
        <v>973</v>
      </c>
      <c r="B133" s="109" t="s">
        <v>2625</v>
      </c>
      <c r="C133" s="109" t="s">
        <v>2563</v>
      </c>
      <c r="D133" s="109" t="s">
        <v>2567</v>
      </c>
    </row>
    <row r="134" spans="1:4">
      <c r="A134" s="22" t="s">
        <v>2561</v>
      </c>
      <c r="B134" s="22" t="s">
        <v>2562</v>
      </c>
      <c r="C134" s="22" t="s">
        <v>2563</v>
      </c>
      <c r="D134" s="22" t="s">
        <v>2564</v>
      </c>
    </row>
    <row r="135" spans="1:4">
      <c r="A135" t="s">
        <v>2626</v>
      </c>
      <c r="B135" t="s">
        <v>2566</v>
      </c>
      <c r="C135" t="s">
        <v>2563</v>
      </c>
      <c r="D135" t="s">
        <v>2567</v>
      </c>
    </row>
    <row r="136" spans="1:4">
      <c r="A136" s="224" t="s">
        <v>2627</v>
      </c>
      <c r="B136" s="224"/>
      <c r="C136" s="224"/>
      <c r="D136" s="224"/>
    </row>
    <row r="138" spans="1:4" ht="15.75">
      <c r="A138" s="206" t="s">
        <v>2628</v>
      </c>
      <c r="B138" s="206"/>
      <c r="C138" s="206"/>
    </row>
    <row r="139" spans="1:4">
      <c r="A139" s="112" t="s">
        <v>2629</v>
      </c>
      <c r="B139" s="112" t="s">
        <v>28</v>
      </c>
      <c r="C139" s="112" t="s">
        <v>2113</v>
      </c>
    </row>
    <row r="140" spans="1:4">
      <c r="A140" s="109" t="s">
        <v>2630</v>
      </c>
      <c r="B140" s="109" t="s">
        <v>33</v>
      </c>
      <c r="C140" s="3"/>
    </row>
    <row r="141" spans="1:4">
      <c r="A141" s="109" t="s">
        <v>2631</v>
      </c>
      <c r="B141" s="109" t="s">
        <v>601</v>
      </c>
      <c r="C141" s="3"/>
    </row>
    <row r="142" spans="1:4" ht="15.75">
      <c r="A142" s="135" t="s">
        <v>2632</v>
      </c>
      <c r="B142" s="135" t="s">
        <v>52</v>
      </c>
      <c r="C142" s="88"/>
      <c r="D142" s="85"/>
    </row>
    <row r="143" spans="1:4">
      <c r="A143" s="109" t="s">
        <v>2633</v>
      </c>
      <c r="B143" s="109" t="s">
        <v>484</v>
      </c>
      <c r="C143" s="86"/>
      <c r="D143" s="22"/>
    </row>
    <row r="144" spans="1:4">
      <c r="A144" s="109" t="s">
        <v>2634</v>
      </c>
      <c r="B144" s="109" t="s">
        <v>484</v>
      </c>
      <c r="C144" s="3"/>
    </row>
    <row r="145" spans="1:6">
      <c r="A145" s="109" t="s">
        <v>2604</v>
      </c>
      <c r="B145" s="109" t="s">
        <v>52</v>
      </c>
      <c r="C145" s="3"/>
    </row>
    <row r="146" spans="1:6">
      <c r="A146" s="109" t="s">
        <v>2635</v>
      </c>
      <c r="B146" s="109" t="s">
        <v>2636</v>
      </c>
      <c r="C146" s="3"/>
    </row>
    <row r="147" spans="1:6">
      <c r="A147" s="109" t="s">
        <v>2637</v>
      </c>
      <c r="B147" s="109" t="s">
        <v>1944</v>
      </c>
      <c r="C147" s="3"/>
    </row>
    <row r="149" spans="1:6" ht="15.75">
      <c r="A149" s="206" t="s">
        <v>412</v>
      </c>
      <c r="B149" s="206"/>
      <c r="C149" s="206"/>
      <c r="D149" s="206"/>
      <c r="E149" s="206"/>
      <c r="F149" s="206"/>
    </row>
    <row r="150" spans="1:6">
      <c r="A150" s="230" t="s">
        <v>2638</v>
      </c>
      <c r="B150" s="230"/>
      <c r="C150" s="230"/>
      <c r="D150" s="230"/>
      <c r="E150" s="230"/>
      <c r="F150" s="230"/>
    </row>
    <row r="157" spans="1:6">
      <c r="A157" s="225"/>
      <c r="B157" s="225"/>
      <c r="C157" s="225"/>
      <c r="D157" s="225"/>
      <c r="E157" s="225"/>
    </row>
    <row r="159" spans="1:6" ht="15.75">
      <c r="A159" s="206"/>
      <c r="B159" s="206"/>
      <c r="C159" s="206"/>
      <c r="D159" s="206"/>
      <c r="E159" s="206"/>
    </row>
    <row r="160" spans="1:6">
      <c r="A160" s="22"/>
      <c r="B160" s="22"/>
      <c r="C160" s="22"/>
      <c r="D160" s="22"/>
      <c r="E160" s="22"/>
    </row>
    <row r="168" spans="1:2" ht="15.75">
      <c r="A168" s="206"/>
      <c r="B168" s="206"/>
    </row>
    <row r="169" spans="1:2">
      <c r="A169" s="22"/>
      <c r="B169" s="22"/>
    </row>
    <row r="181" spans="1:2" ht="15.75">
      <c r="A181" s="206"/>
      <c r="B181" s="206"/>
    </row>
    <row r="182" spans="1:2">
      <c r="A182" s="204"/>
      <c r="B182" s="204"/>
    </row>
    <row r="183" spans="1:2">
      <c r="A183" s="204"/>
      <c r="B183" s="204"/>
    </row>
    <row r="184" spans="1:2">
      <c r="A184" s="204"/>
      <c r="B184" s="204"/>
    </row>
  </sheetData>
  <mergeCells count="31">
    <mergeCell ref="A150:F150"/>
    <mergeCell ref="A2:F2"/>
    <mergeCell ref="A79:E79"/>
    <mergeCell ref="A90:F90"/>
    <mergeCell ref="A100:F100"/>
    <mergeCell ref="A102:F102"/>
    <mergeCell ref="A103:F103"/>
    <mergeCell ref="A41:E41"/>
    <mergeCell ref="A49:D49"/>
    <mergeCell ref="A55:E55"/>
    <mergeCell ref="A62:F62"/>
    <mergeCell ref="A69:F69"/>
    <mergeCell ref="A124:C124"/>
    <mergeCell ref="A89:F89"/>
    <mergeCell ref="A168:B168"/>
    <mergeCell ref="A181:B181"/>
    <mergeCell ref="A182:B182"/>
    <mergeCell ref="A183:B183"/>
    <mergeCell ref="A184:B184"/>
    <mergeCell ref="A7:D7"/>
    <mergeCell ref="A11:E11"/>
    <mergeCell ref="A24:E24"/>
    <mergeCell ref="A157:E157"/>
    <mergeCell ref="A159:E159"/>
    <mergeCell ref="A131:D131"/>
    <mergeCell ref="A136:D136"/>
    <mergeCell ref="A138:C138"/>
    <mergeCell ref="A149:F149"/>
    <mergeCell ref="A4:E4"/>
    <mergeCell ref="A13:E13"/>
    <mergeCell ref="A1:F1"/>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D2E15-53F5-4F94-BFBE-87F50DEC1BE4}">
  <sheetPr>
    <tabColor rgb="FF6C7470"/>
  </sheetPr>
  <dimension ref="A1:Z120"/>
  <sheetViews>
    <sheetView workbookViewId="0">
      <selection sqref="A1:E1"/>
    </sheetView>
  </sheetViews>
  <sheetFormatPr defaultRowHeight="15"/>
  <cols>
    <col min="26" max="26" width="0" hidden="1" customWidth="1"/>
  </cols>
  <sheetData>
    <row r="1" spans="1:26" ht="26.25">
      <c r="A1" s="82" t="s">
        <v>2639</v>
      </c>
      <c r="B1" s="82"/>
      <c r="C1" s="82"/>
      <c r="D1" s="82"/>
      <c r="E1" s="82"/>
      <c r="F1" s="158"/>
      <c r="Z1" t="s">
        <v>1114</v>
      </c>
    </row>
    <row r="2" spans="1:26">
      <c r="A2" s="160" t="s">
        <v>2640</v>
      </c>
      <c r="B2" s="160"/>
      <c r="C2" s="160"/>
      <c r="D2" s="160"/>
      <c r="E2" s="160"/>
      <c r="F2" s="159"/>
      <c r="Z2" t="s">
        <v>1115</v>
      </c>
    </row>
    <row r="3" spans="1:26">
      <c r="A3" s="28" t="s">
        <v>2641</v>
      </c>
      <c r="B3" s="231" t="s">
        <v>2642</v>
      </c>
      <c r="C3" s="231"/>
      <c r="D3" s="231"/>
      <c r="E3" s="231"/>
      <c r="F3" s="92"/>
      <c r="Z3" t="s">
        <v>2643</v>
      </c>
    </row>
    <row r="4" spans="1:26" ht="15.75">
      <c r="A4" s="206" t="s">
        <v>2644</v>
      </c>
      <c r="B4" s="206"/>
      <c r="C4" s="206"/>
      <c r="D4" s="91"/>
      <c r="E4" s="91"/>
      <c r="F4" s="91"/>
      <c r="Z4" t="s">
        <v>2423</v>
      </c>
    </row>
    <row r="5" spans="1:26">
      <c r="A5" s="112" t="s">
        <v>69</v>
      </c>
      <c r="B5" s="112" t="s">
        <v>2645</v>
      </c>
      <c r="C5" s="112" t="s">
        <v>2646</v>
      </c>
      <c r="D5" s="114"/>
      <c r="E5" s="114"/>
      <c r="F5" s="92"/>
    </row>
    <row r="6" spans="1:26">
      <c r="A6" s="109" t="s">
        <v>484</v>
      </c>
      <c r="B6" s="109" t="s">
        <v>2647</v>
      </c>
      <c r="C6" s="109" t="s">
        <v>2648</v>
      </c>
      <c r="D6" s="92"/>
      <c r="E6" s="92"/>
      <c r="F6" s="92"/>
    </row>
    <row r="7" spans="1:26">
      <c r="A7" s="109" t="s">
        <v>52</v>
      </c>
      <c r="B7" s="109" t="s">
        <v>2649</v>
      </c>
      <c r="C7" s="109" t="s">
        <v>2650</v>
      </c>
      <c r="D7" s="92"/>
      <c r="E7" s="92"/>
      <c r="F7" s="92"/>
    </row>
    <row r="8" spans="1:26">
      <c r="A8" s="109" t="s">
        <v>2651</v>
      </c>
      <c r="B8" s="109" t="s">
        <v>2652</v>
      </c>
      <c r="C8" s="109" t="s">
        <v>2653</v>
      </c>
      <c r="D8" s="92"/>
      <c r="E8" s="92"/>
      <c r="F8" s="92"/>
    </row>
    <row r="9" spans="1:26">
      <c r="A9" s="92"/>
      <c r="B9" s="92"/>
      <c r="C9" s="92"/>
      <c r="D9" s="92"/>
      <c r="E9" s="92"/>
      <c r="F9" s="92"/>
    </row>
    <row r="10" spans="1:26" ht="15.75">
      <c r="A10" s="206" t="s">
        <v>2654</v>
      </c>
      <c r="B10" s="206"/>
      <c r="C10" s="206"/>
      <c r="D10" s="206"/>
      <c r="E10" s="92"/>
      <c r="F10" s="92"/>
    </row>
    <row r="11" spans="1:26">
      <c r="A11" s="112" t="s">
        <v>69</v>
      </c>
      <c r="B11" s="112" t="s">
        <v>70</v>
      </c>
      <c r="C11" s="112" t="s">
        <v>2655</v>
      </c>
      <c r="D11" s="112" t="s">
        <v>2656</v>
      </c>
      <c r="E11" s="92"/>
      <c r="F11" s="92"/>
    </row>
    <row r="12" spans="1:26">
      <c r="A12" s="109" t="s">
        <v>484</v>
      </c>
      <c r="B12" s="109" t="s">
        <v>2657</v>
      </c>
      <c r="C12" s="109" t="s">
        <v>2658</v>
      </c>
      <c r="D12" s="109" t="s">
        <v>52</v>
      </c>
      <c r="E12" s="92"/>
      <c r="F12" s="92"/>
    </row>
    <row r="13" spans="1:26" ht="15.75">
      <c r="A13" s="109" t="s">
        <v>52</v>
      </c>
      <c r="B13" s="109" t="s">
        <v>2659</v>
      </c>
      <c r="C13" s="109" t="s">
        <v>2660</v>
      </c>
      <c r="D13" s="109" t="s">
        <v>2661</v>
      </c>
      <c r="E13" s="91"/>
      <c r="F13" s="91"/>
    </row>
    <row r="14" spans="1:26">
      <c r="A14" s="109" t="s">
        <v>2651</v>
      </c>
      <c r="B14" s="109" t="s">
        <v>2662</v>
      </c>
      <c r="C14" s="109" t="s">
        <v>2663</v>
      </c>
      <c r="D14" s="109" t="s">
        <v>2664</v>
      </c>
      <c r="E14" s="114"/>
      <c r="F14" s="114"/>
    </row>
    <row r="15" spans="1:26">
      <c r="A15" s="109" t="s">
        <v>2545</v>
      </c>
      <c r="B15" s="109" t="s">
        <v>2665</v>
      </c>
      <c r="C15" s="109" t="s">
        <v>2666</v>
      </c>
      <c r="D15" s="109" t="s">
        <v>2667</v>
      </c>
      <c r="E15" s="92"/>
      <c r="F15" s="92"/>
    </row>
    <row r="16" spans="1:26">
      <c r="A16" s="92"/>
      <c r="B16" s="92"/>
      <c r="C16" s="92"/>
      <c r="D16" s="92"/>
      <c r="E16" s="92"/>
      <c r="F16" s="92"/>
    </row>
    <row r="17" spans="1:6" ht="15.75">
      <c r="A17" s="206" t="s">
        <v>2668</v>
      </c>
      <c r="B17" s="206"/>
      <c r="C17" s="206"/>
      <c r="D17" s="206"/>
      <c r="E17" s="206"/>
      <c r="F17" s="92"/>
    </row>
    <row r="18" spans="1:6">
      <c r="A18" s="127" t="s">
        <v>2669</v>
      </c>
      <c r="B18" s="92"/>
      <c r="C18" s="92"/>
      <c r="D18" s="92"/>
      <c r="E18" s="92"/>
      <c r="F18" s="92"/>
    </row>
    <row r="19" spans="1:6">
      <c r="A19" s="112" t="s">
        <v>2490</v>
      </c>
      <c r="B19" s="112" t="s">
        <v>2670</v>
      </c>
      <c r="C19" s="112" t="s">
        <v>2671</v>
      </c>
      <c r="D19" s="112" t="s">
        <v>2672</v>
      </c>
      <c r="E19" s="112" t="s">
        <v>2673</v>
      </c>
      <c r="F19" s="92"/>
    </row>
    <row r="20" spans="1:6">
      <c r="A20" s="109">
        <v>1</v>
      </c>
      <c r="B20" s="109" t="s">
        <v>2674</v>
      </c>
      <c r="C20" s="109">
        <v>8</v>
      </c>
      <c r="D20" s="109" t="s">
        <v>2675</v>
      </c>
      <c r="E20" s="109" t="s">
        <v>2676</v>
      </c>
      <c r="F20" s="92"/>
    </row>
    <row r="21" spans="1:6">
      <c r="A21" s="109">
        <v>2</v>
      </c>
      <c r="B21" s="109" t="s">
        <v>2677</v>
      </c>
      <c r="C21" s="109">
        <v>8</v>
      </c>
      <c r="D21" s="109" t="s">
        <v>2678</v>
      </c>
      <c r="E21" s="109" t="s">
        <v>2679</v>
      </c>
      <c r="F21" s="92"/>
    </row>
    <row r="22" spans="1:6">
      <c r="A22" s="109">
        <v>3</v>
      </c>
      <c r="B22" s="109" t="s">
        <v>2680</v>
      </c>
      <c r="C22" s="109">
        <v>5</v>
      </c>
      <c r="D22" s="109" t="s">
        <v>2681</v>
      </c>
      <c r="E22" s="109" t="s">
        <v>2682</v>
      </c>
      <c r="F22" s="92"/>
    </row>
    <row r="23" spans="1:6">
      <c r="A23" s="109">
        <v>4</v>
      </c>
      <c r="B23" s="109" t="s">
        <v>2683</v>
      </c>
      <c r="C23" s="109">
        <v>8</v>
      </c>
      <c r="D23" s="109" t="s">
        <v>2684</v>
      </c>
      <c r="E23" s="109" t="s">
        <v>2685</v>
      </c>
      <c r="F23" s="92"/>
    </row>
    <row r="24" spans="1:6">
      <c r="A24" s="109">
        <v>5</v>
      </c>
      <c r="B24" s="109" t="s">
        <v>2686</v>
      </c>
      <c r="C24" s="109">
        <v>5</v>
      </c>
      <c r="D24" s="109" t="s">
        <v>2687</v>
      </c>
      <c r="E24" s="109" t="s">
        <v>2688</v>
      </c>
      <c r="F24" s="92"/>
    </row>
    <row r="25" spans="1:6">
      <c r="A25" s="109">
        <v>6</v>
      </c>
      <c r="B25" s="109" t="s">
        <v>2689</v>
      </c>
      <c r="C25" s="109">
        <v>6</v>
      </c>
      <c r="D25" s="109" t="s">
        <v>2690</v>
      </c>
      <c r="E25" s="109" t="s">
        <v>2691</v>
      </c>
      <c r="F25" s="92"/>
    </row>
    <row r="26" spans="1:6">
      <c r="A26" s="228" t="s">
        <v>2692</v>
      </c>
      <c r="B26" s="228"/>
      <c r="C26" s="228"/>
      <c r="D26" s="228"/>
      <c r="E26" s="228"/>
      <c r="F26" s="92"/>
    </row>
    <row r="27" spans="1:6">
      <c r="A27" s="92"/>
      <c r="B27" s="92"/>
      <c r="C27" s="92"/>
      <c r="D27" s="92"/>
      <c r="E27" s="92"/>
      <c r="F27" s="92"/>
    </row>
    <row r="28" spans="1:6" ht="15.75">
      <c r="A28" s="206" t="s">
        <v>2693</v>
      </c>
      <c r="B28" s="206"/>
      <c r="C28" s="206"/>
      <c r="D28" s="206"/>
      <c r="E28" s="206"/>
      <c r="F28" s="92"/>
    </row>
    <row r="29" spans="1:6">
      <c r="A29" s="112" t="s">
        <v>2694</v>
      </c>
      <c r="B29" s="112" t="s">
        <v>2695</v>
      </c>
      <c r="C29" s="112" t="s">
        <v>28</v>
      </c>
      <c r="D29" s="112" t="s">
        <v>2696</v>
      </c>
      <c r="E29" s="112" t="s">
        <v>2697</v>
      </c>
      <c r="F29" s="92"/>
    </row>
    <row r="30" spans="1:6">
      <c r="A30" s="109" t="s">
        <v>2698</v>
      </c>
      <c r="B30" s="109" t="s">
        <v>2699</v>
      </c>
      <c r="C30" s="109" t="s">
        <v>484</v>
      </c>
      <c r="D30" s="109" t="s">
        <v>2700</v>
      </c>
      <c r="E30" s="109" t="s">
        <v>2701</v>
      </c>
      <c r="F30" s="92"/>
    </row>
    <row r="31" spans="1:6" ht="15.75">
      <c r="A31" s="109" t="s">
        <v>2702</v>
      </c>
      <c r="B31" s="109" t="s">
        <v>2703</v>
      </c>
      <c r="C31" s="109" t="s">
        <v>2651</v>
      </c>
      <c r="D31" s="109" t="s">
        <v>2704</v>
      </c>
      <c r="E31" s="109" t="s">
        <v>2503</v>
      </c>
      <c r="F31" s="91"/>
    </row>
    <row r="32" spans="1:6">
      <c r="A32" s="109" t="s">
        <v>2705</v>
      </c>
      <c r="B32" s="109" t="s">
        <v>2706</v>
      </c>
      <c r="C32" s="109" t="s">
        <v>2273</v>
      </c>
      <c r="D32" s="109" t="s">
        <v>2707</v>
      </c>
      <c r="E32" s="109" t="s">
        <v>2530</v>
      </c>
      <c r="F32" s="121"/>
    </row>
    <row r="33" spans="1:6">
      <c r="A33" s="109" t="s">
        <v>2708</v>
      </c>
      <c r="B33" s="109" t="s">
        <v>2709</v>
      </c>
      <c r="C33" s="109" t="s">
        <v>52</v>
      </c>
      <c r="D33" s="109" t="s">
        <v>2710</v>
      </c>
      <c r="E33" s="109" t="s">
        <v>53</v>
      </c>
      <c r="F33" s="114"/>
    </row>
    <row r="34" spans="1:6">
      <c r="A34" s="109" t="s">
        <v>2711</v>
      </c>
      <c r="B34" s="109" t="s">
        <v>2712</v>
      </c>
      <c r="C34" s="109" t="s">
        <v>2713</v>
      </c>
      <c r="D34" s="109" t="s">
        <v>2714</v>
      </c>
      <c r="E34" s="109" t="s">
        <v>2576</v>
      </c>
      <c r="F34" s="93"/>
    </row>
    <row r="35" spans="1:6">
      <c r="A35" s="109" t="s">
        <v>2711</v>
      </c>
      <c r="B35" s="109" t="s">
        <v>2715</v>
      </c>
      <c r="C35" s="109" t="s">
        <v>2716</v>
      </c>
      <c r="D35" s="109" t="s">
        <v>2717</v>
      </c>
      <c r="E35" s="109" t="s">
        <v>48</v>
      </c>
      <c r="F35" s="93"/>
    </row>
    <row r="36" spans="1:6">
      <c r="A36" s="228" t="s">
        <v>2718</v>
      </c>
      <c r="B36" s="228"/>
      <c r="C36" s="228"/>
      <c r="D36" s="228"/>
      <c r="E36" s="228"/>
      <c r="F36" s="93"/>
    </row>
    <row r="37" spans="1:6">
      <c r="A37" s="92"/>
      <c r="B37" s="93"/>
      <c r="C37" s="93"/>
      <c r="D37" s="93"/>
      <c r="E37" s="92"/>
      <c r="F37" s="93"/>
    </row>
    <row r="38" spans="1:6" ht="15.75">
      <c r="A38" s="206" t="s">
        <v>2719</v>
      </c>
      <c r="B38" s="206"/>
      <c r="C38" s="206"/>
      <c r="D38" s="206"/>
      <c r="E38" s="92"/>
      <c r="F38" s="93"/>
    </row>
    <row r="39" spans="1:6">
      <c r="A39" s="127" t="s">
        <v>2720</v>
      </c>
      <c r="B39" s="93"/>
      <c r="C39" s="93"/>
      <c r="D39" s="93"/>
      <c r="E39" s="92"/>
      <c r="F39" s="93"/>
    </row>
    <row r="40" spans="1:6">
      <c r="A40" s="112" t="s">
        <v>2721</v>
      </c>
      <c r="B40" s="112" t="s">
        <v>2722</v>
      </c>
      <c r="C40" s="112" t="s">
        <v>2723</v>
      </c>
      <c r="D40" s="112" t="s">
        <v>2724</v>
      </c>
      <c r="E40" s="92"/>
      <c r="F40" s="93"/>
    </row>
    <row r="41" spans="1:6">
      <c r="A41" s="109" t="s">
        <v>2725</v>
      </c>
      <c r="B41" s="109" t="s">
        <v>338</v>
      </c>
      <c r="C41" s="109" t="s">
        <v>2726</v>
      </c>
      <c r="D41" s="109" t="s">
        <v>2727</v>
      </c>
      <c r="E41" s="92"/>
      <c r="F41" s="93"/>
    </row>
    <row r="42" spans="1:6">
      <c r="A42" s="109" t="s">
        <v>2728</v>
      </c>
      <c r="B42" s="109" t="s">
        <v>340</v>
      </c>
      <c r="C42" s="109" t="s">
        <v>2729</v>
      </c>
      <c r="D42" s="109" t="s">
        <v>2730</v>
      </c>
      <c r="E42" s="92"/>
      <c r="F42" s="93"/>
    </row>
    <row r="43" spans="1:6">
      <c r="A43" s="109" t="s">
        <v>2731</v>
      </c>
      <c r="B43" s="109" t="s">
        <v>342</v>
      </c>
      <c r="C43" s="109" t="s">
        <v>2732</v>
      </c>
      <c r="D43" s="109" t="s">
        <v>2733</v>
      </c>
      <c r="E43" s="92"/>
      <c r="F43" s="93"/>
    </row>
    <row r="44" spans="1:6">
      <c r="A44" s="109" t="s">
        <v>2734</v>
      </c>
      <c r="B44" s="109" t="s">
        <v>344</v>
      </c>
      <c r="C44" s="109" t="s">
        <v>2735</v>
      </c>
      <c r="D44" s="109" t="s">
        <v>2736</v>
      </c>
      <c r="E44" s="94"/>
      <c r="F44" s="93"/>
    </row>
    <row r="45" spans="1:6">
      <c r="A45" s="109" t="s">
        <v>2737</v>
      </c>
      <c r="B45" s="109" t="s">
        <v>2738</v>
      </c>
      <c r="C45" s="109" t="s">
        <v>2739</v>
      </c>
      <c r="D45" s="109" t="s">
        <v>2740</v>
      </c>
      <c r="E45" s="92"/>
      <c r="F45" s="93"/>
    </row>
    <row r="46" spans="1:6">
      <c r="A46" s="228" t="s">
        <v>2741</v>
      </c>
      <c r="B46" s="228"/>
      <c r="C46" s="228"/>
      <c r="D46" s="228"/>
      <c r="E46" s="92"/>
      <c r="F46" s="93"/>
    </row>
    <row r="47" spans="1:6">
      <c r="A47" s="92"/>
      <c r="B47" s="92"/>
      <c r="C47" s="92"/>
      <c r="D47" s="93"/>
      <c r="E47" s="92"/>
      <c r="F47" s="93"/>
    </row>
    <row r="48" spans="1:6" ht="15.75">
      <c r="A48" s="206" t="s">
        <v>2742</v>
      </c>
      <c r="B48" s="206"/>
      <c r="C48" s="206"/>
      <c r="D48" s="206"/>
      <c r="E48" s="92"/>
      <c r="F48" s="93"/>
    </row>
    <row r="49" spans="1:6">
      <c r="A49" s="127" t="s">
        <v>2743</v>
      </c>
      <c r="B49" s="92"/>
      <c r="C49" s="92"/>
      <c r="D49" s="93"/>
      <c r="E49" s="92"/>
      <c r="F49" s="93"/>
    </row>
    <row r="50" spans="1:6">
      <c r="A50" s="112" t="s">
        <v>2460</v>
      </c>
      <c r="B50" s="112" t="s">
        <v>2744</v>
      </c>
      <c r="C50" s="112" t="s">
        <v>2745</v>
      </c>
      <c r="D50" s="112" t="s">
        <v>2746</v>
      </c>
      <c r="E50" s="92"/>
      <c r="F50" s="93"/>
    </row>
    <row r="51" spans="1:6">
      <c r="A51" s="109" t="s">
        <v>601</v>
      </c>
      <c r="B51" s="109" t="s">
        <v>2747</v>
      </c>
      <c r="C51" s="109" t="s">
        <v>2748</v>
      </c>
      <c r="D51" s="109" t="s">
        <v>2749</v>
      </c>
      <c r="E51" s="92"/>
      <c r="F51" s="93"/>
    </row>
    <row r="52" spans="1:6">
      <c r="A52" s="109" t="s">
        <v>1323</v>
      </c>
      <c r="B52" s="109" t="s">
        <v>2750</v>
      </c>
      <c r="C52" s="109" t="s">
        <v>2751</v>
      </c>
      <c r="D52" s="109" t="s">
        <v>2752</v>
      </c>
      <c r="E52" s="94"/>
      <c r="F52" s="93"/>
    </row>
    <row r="53" spans="1:6">
      <c r="A53" s="109" t="s">
        <v>1335</v>
      </c>
      <c r="B53" s="109" t="s">
        <v>2753</v>
      </c>
      <c r="C53" s="109" t="s">
        <v>2754</v>
      </c>
      <c r="D53" s="109" t="s">
        <v>2755</v>
      </c>
      <c r="E53" s="92"/>
      <c r="F53" s="93"/>
    </row>
    <row r="54" spans="1:6">
      <c r="A54" s="109" t="s">
        <v>2477</v>
      </c>
      <c r="B54" s="109" t="s">
        <v>2756</v>
      </c>
      <c r="C54" s="109" t="s">
        <v>2757</v>
      </c>
      <c r="D54" s="109" t="s">
        <v>2758</v>
      </c>
      <c r="E54" s="92"/>
      <c r="F54" s="93"/>
    </row>
    <row r="55" spans="1:6">
      <c r="A55" s="109" t="s">
        <v>2482</v>
      </c>
      <c r="B55" s="109" t="s">
        <v>2759</v>
      </c>
      <c r="C55" s="109" t="s">
        <v>2760</v>
      </c>
      <c r="D55" s="109" t="s">
        <v>2761</v>
      </c>
      <c r="E55" s="92"/>
      <c r="F55" s="93"/>
    </row>
    <row r="56" spans="1:6">
      <c r="A56" s="228" t="s">
        <v>2762</v>
      </c>
      <c r="B56" s="228"/>
      <c r="C56" s="228"/>
      <c r="D56" s="228"/>
      <c r="E56" s="115"/>
      <c r="F56" s="93"/>
    </row>
    <row r="57" spans="1:6">
      <c r="A57" s="92"/>
      <c r="B57" s="92"/>
      <c r="C57" s="92"/>
      <c r="D57" s="93"/>
      <c r="E57" s="92"/>
      <c r="F57" s="93"/>
    </row>
    <row r="58" spans="1:6" ht="15.75">
      <c r="A58" s="206" t="s">
        <v>2763</v>
      </c>
      <c r="B58" s="206"/>
      <c r="C58" s="206"/>
      <c r="D58" s="206"/>
      <c r="E58" s="206"/>
      <c r="F58" s="93"/>
    </row>
    <row r="59" spans="1:6">
      <c r="A59" s="127" t="s">
        <v>2764</v>
      </c>
      <c r="B59" s="92"/>
      <c r="C59" s="92"/>
      <c r="D59" s="92"/>
      <c r="E59" s="92"/>
      <c r="F59" s="92"/>
    </row>
    <row r="60" spans="1:6" ht="15.75">
      <c r="A60" s="161" t="s">
        <v>2304</v>
      </c>
      <c r="B60" s="161" t="s">
        <v>2765</v>
      </c>
      <c r="C60" s="161" t="s">
        <v>2766</v>
      </c>
      <c r="D60" s="161" t="s">
        <v>53</v>
      </c>
      <c r="E60" s="161" t="s">
        <v>2767</v>
      </c>
      <c r="F60" s="91"/>
    </row>
    <row r="61" spans="1:6">
      <c r="A61" s="109" t="s">
        <v>2308</v>
      </c>
      <c r="B61" s="109" t="s">
        <v>2768</v>
      </c>
      <c r="C61" s="109" t="s">
        <v>2768</v>
      </c>
      <c r="D61" s="109" t="s">
        <v>284</v>
      </c>
      <c r="E61" s="109" t="s">
        <v>2769</v>
      </c>
      <c r="F61" s="114"/>
    </row>
    <row r="62" spans="1:6">
      <c r="A62" s="109" t="s">
        <v>2314</v>
      </c>
      <c r="B62" s="109" t="s">
        <v>2770</v>
      </c>
      <c r="C62" s="109" t="s">
        <v>2768</v>
      </c>
      <c r="D62" s="109" t="s">
        <v>2771</v>
      </c>
      <c r="E62" s="109" t="s">
        <v>2772</v>
      </c>
      <c r="F62" s="92"/>
    </row>
    <row r="63" spans="1:6">
      <c r="A63" s="109" t="s">
        <v>2280</v>
      </c>
      <c r="B63" s="109" t="s">
        <v>2418</v>
      </c>
      <c r="C63" s="109" t="s">
        <v>2768</v>
      </c>
      <c r="D63" s="109" t="s">
        <v>2773</v>
      </c>
      <c r="E63" s="109" t="s">
        <v>2774</v>
      </c>
      <c r="F63" s="92"/>
    </row>
    <row r="64" spans="1:6">
      <c r="A64" s="109" t="s">
        <v>2322</v>
      </c>
      <c r="B64" s="109" t="s">
        <v>2768</v>
      </c>
      <c r="C64" s="109" t="s">
        <v>2768</v>
      </c>
      <c r="D64" s="109" t="s">
        <v>286</v>
      </c>
      <c r="E64" s="109" t="s">
        <v>2775</v>
      </c>
      <c r="F64" s="92"/>
    </row>
    <row r="65" spans="1:6">
      <c r="A65" s="109" t="s">
        <v>2326</v>
      </c>
      <c r="B65" s="109" t="s">
        <v>2768</v>
      </c>
      <c r="C65" s="109" t="s">
        <v>2768</v>
      </c>
      <c r="D65" s="109" t="s">
        <v>287</v>
      </c>
      <c r="E65" s="109" t="s">
        <v>2776</v>
      </c>
      <c r="F65" s="92"/>
    </row>
    <row r="66" spans="1:6">
      <c r="A66" s="109" t="s">
        <v>2330</v>
      </c>
      <c r="B66" s="109" t="s">
        <v>2768</v>
      </c>
      <c r="C66" s="109" t="s">
        <v>2768</v>
      </c>
      <c r="D66" s="109" t="s">
        <v>2777</v>
      </c>
      <c r="E66" s="109" t="s">
        <v>2778</v>
      </c>
      <c r="F66" s="92"/>
    </row>
    <row r="67" spans="1:6">
      <c r="A67" s="109" t="s">
        <v>2225</v>
      </c>
      <c r="B67" s="109" t="s">
        <v>2779</v>
      </c>
      <c r="C67" s="109" t="s">
        <v>2780</v>
      </c>
      <c r="D67" s="109" t="s">
        <v>2225</v>
      </c>
      <c r="E67" s="109" t="s">
        <v>2781</v>
      </c>
      <c r="F67" s="92"/>
    </row>
    <row r="68" spans="1:6">
      <c r="A68" s="109" t="s">
        <v>2338</v>
      </c>
      <c r="B68" s="109" t="s">
        <v>2782</v>
      </c>
      <c r="C68" s="109" t="s">
        <v>2783</v>
      </c>
      <c r="D68" s="109" t="s">
        <v>2338</v>
      </c>
      <c r="E68" s="109" t="s">
        <v>2784</v>
      </c>
      <c r="F68" s="128"/>
    </row>
    <row r="69" spans="1:6">
      <c r="A69" s="109" t="s">
        <v>2342</v>
      </c>
      <c r="B69" s="109" t="s">
        <v>340</v>
      </c>
      <c r="C69" s="109" t="s">
        <v>2768</v>
      </c>
      <c r="D69" s="109" t="s">
        <v>2785</v>
      </c>
      <c r="E69" s="109" t="s">
        <v>2786</v>
      </c>
      <c r="F69" s="92"/>
    </row>
    <row r="70" spans="1:6">
      <c r="A70" s="109" t="s">
        <v>2346</v>
      </c>
      <c r="B70" s="109" t="s">
        <v>55</v>
      </c>
      <c r="C70" s="109" t="s">
        <v>2768</v>
      </c>
      <c r="D70" s="109" t="s">
        <v>2787</v>
      </c>
      <c r="E70" s="109" t="s">
        <v>2788</v>
      </c>
      <c r="F70" s="92"/>
    </row>
    <row r="71" spans="1:6">
      <c r="A71" s="109" t="s">
        <v>2789</v>
      </c>
      <c r="B71" s="109" t="s">
        <v>2790</v>
      </c>
      <c r="C71" s="109" t="s">
        <v>2791</v>
      </c>
      <c r="D71" s="109" t="s">
        <v>2792</v>
      </c>
      <c r="E71" s="109" t="s">
        <v>2793</v>
      </c>
      <c r="F71" s="92"/>
    </row>
    <row r="72" spans="1:6">
      <c r="A72" s="92"/>
      <c r="B72" s="92"/>
      <c r="C72" s="92"/>
      <c r="D72" s="92"/>
      <c r="E72" s="93"/>
      <c r="F72" s="92"/>
    </row>
    <row r="73" spans="1:6" ht="15.75">
      <c r="A73" s="206" t="s">
        <v>2794</v>
      </c>
      <c r="B73" s="206"/>
      <c r="C73" s="206"/>
      <c r="D73" s="91"/>
      <c r="E73" s="93"/>
      <c r="F73" s="92"/>
    </row>
    <row r="74" spans="1:6">
      <c r="A74" s="130" t="s">
        <v>2795</v>
      </c>
      <c r="B74" s="114"/>
      <c r="C74" s="114"/>
      <c r="D74" s="114"/>
      <c r="E74" s="93"/>
      <c r="F74" s="92"/>
    </row>
    <row r="75" spans="1:6">
      <c r="A75" s="112" t="s">
        <v>2796</v>
      </c>
      <c r="B75" s="112" t="s">
        <v>2797</v>
      </c>
      <c r="C75" s="112" t="s">
        <v>2798</v>
      </c>
      <c r="D75" s="92"/>
      <c r="E75" s="93"/>
      <c r="F75" s="92"/>
    </row>
    <row r="76" spans="1:6">
      <c r="A76" s="109" t="s">
        <v>2799</v>
      </c>
      <c r="B76" s="109" t="s">
        <v>2800</v>
      </c>
      <c r="C76" s="109" t="s">
        <v>2801</v>
      </c>
      <c r="D76" s="92"/>
      <c r="E76" s="93"/>
      <c r="F76" s="92"/>
    </row>
    <row r="77" spans="1:6">
      <c r="A77" s="109" t="s">
        <v>2802</v>
      </c>
      <c r="B77" s="109" t="s">
        <v>2803</v>
      </c>
      <c r="C77" s="109" t="s">
        <v>2804</v>
      </c>
      <c r="D77" s="92"/>
      <c r="E77" s="93"/>
      <c r="F77" s="92"/>
    </row>
    <row r="78" spans="1:6" ht="15.75">
      <c r="A78" s="109" t="s">
        <v>2805</v>
      </c>
      <c r="B78" s="109" t="s">
        <v>2806</v>
      </c>
      <c r="C78" s="109" t="s">
        <v>2807</v>
      </c>
      <c r="D78" s="91"/>
      <c r="E78" s="91"/>
      <c r="F78" s="92"/>
    </row>
    <row r="79" spans="1:6">
      <c r="A79" s="109" t="s">
        <v>2517</v>
      </c>
      <c r="B79" s="109" t="s">
        <v>2808</v>
      </c>
      <c r="C79" s="109" t="s">
        <v>2809</v>
      </c>
      <c r="D79" s="92"/>
      <c r="E79" s="92"/>
      <c r="F79" s="92"/>
    </row>
    <row r="80" spans="1:6" ht="15.75">
      <c r="A80" s="109" t="s">
        <v>2522</v>
      </c>
      <c r="B80" s="109" t="s">
        <v>2810</v>
      </c>
      <c r="C80" s="109" t="s">
        <v>2811</v>
      </c>
      <c r="D80" s="91"/>
      <c r="E80" s="92"/>
      <c r="F80" s="92"/>
    </row>
    <row r="81" spans="1:6" ht="15.75">
      <c r="A81" s="109" t="s">
        <v>2812</v>
      </c>
      <c r="B81" s="109" t="s">
        <v>2813</v>
      </c>
      <c r="C81" s="109" t="s">
        <v>2814</v>
      </c>
      <c r="D81" s="91"/>
      <c r="E81" s="91"/>
      <c r="F81" s="92"/>
    </row>
    <row r="82" spans="1:6">
      <c r="A82" s="232" t="s">
        <v>2815</v>
      </c>
      <c r="B82" s="232"/>
      <c r="C82" s="232"/>
      <c r="D82" s="92"/>
      <c r="E82" s="92"/>
      <c r="F82" s="92"/>
    </row>
    <row r="83" spans="1:6">
      <c r="A83" s="92"/>
      <c r="B83" s="92"/>
      <c r="C83" s="92"/>
      <c r="D83" s="92"/>
      <c r="E83" s="92"/>
      <c r="F83" s="92"/>
    </row>
    <row r="84" spans="1:6" ht="15.75">
      <c r="A84" s="206" t="s">
        <v>2816</v>
      </c>
      <c r="B84" s="206"/>
      <c r="C84" s="206"/>
      <c r="D84" s="206"/>
      <c r="E84" s="91"/>
      <c r="F84" s="92"/>
    </row>
    <row r="85" spans="1:6">
      <c r="A85" s="113" t="s">
        <v>318</v>
      </c>
      <c r="B85" s="112" t="s">
        <v>2817</v>
      </c>
      <c r="C85" s="112" t="s">
        <v>28</v>
      </c>
      <c r="D85" s="112" t="s">
        <v>2818</v>
      </c>
      <c r="E85" s="92"/>
      <c r="F85" s="92"/>
    </row>
    <row r="86" spans="1:6">
      <c r="A86" s="109" t="s">
        <v>2819</v>
      </c>
      <c r="B86" s="109" t="s">
        <v>2820</v>
      </c>
      <c r="C86" s="109" t="s">
        <v>2445</v>
      </c>
      <c r="D86" s="109" t="s">
        <v>2821</v>
      </c>
      <c r="E86" s="92"/>
      <c r="F86" s="92"/>
    </row>
    <row r="87" spans="1:6" ht="15.75">
      <c r="A87" s="109" t="s">
        <v>2822</v>
      </c>
      <c r="B87" s="109" t="s">
        <v>2823</v>
      </c>
      <c r="C87" s="109" t="s">
        <v>52</v>
      </c>
      <c r="D87" s="109" t="s">
        <v>2824</v>
      </c>
      <c r="E87" s="91"/>
      <c r="F87" s="92"/>
    </row>
    <row r="88" spans="1:6" ht="15.75">
      <c r="A88" s="130"/>
      <c r="B88" s="91"/>
      <c r="C88" s="91"/>
      <c r="D88" s="91"/>
      <c r="E88" s="91"/>
      <c r="F88" s="91"/>
    </row>
    <row r="89" spans="1:6" ht="15.75">
      <c r="A89" s="206" t="s">
        <v>2825</v>
      </c>
      <c r="B89" s="206"/>
      <c r="C89" s="206"/>
      <c r="D89" s="206"/>
      <c r="E89" s="206"/>
      <c r="F89" s="92"/>
    </row>
    <row r="90" spans="1:6">
      <c r="A90" s="146" t="s">
        <v>2826</v>
      </c>
      <c r="B90" s="92"/>
      <c r="C90" s="92"/>
      <c r="D90" s="92"/>
      <c r="E90" s="92"/>
      <c r="F90" s="92"/>
    </row>
    <row r="91" spans="1:6">
      <c r="A91" s="92"/>
      <c r="B91" s="92"/>
      <c r="C91" s="92"/>
      <c r="D91" s="92"/>
      <c r="E91" s="92"/>
      <c r="F91" s="92"/>
    </row>
    <row r="92" spans="1:6" ht="15.75">
      <c r="A92" s="206" t="s">
        <v>2827</v>
      </c>
      <c r="B92" s="206"/>
      <c r="C92" s="206"/>
      <c r="D92" s="206"/>
      <c r="E92" s="206"/>
      <c r="F92" s="92"/>
    </row>
    <row r="93" spans="1:6">
      <c r="A93" s="112" t="s">
        <v>2828</v>
      </c>
      <c r="B93" s="112" t="s">
        <v>214</v>
      </c>
      <c r="C93" s="112" t="s">
        <v>28</v>
      </c>
      <c r="D93" s="112" t="s">
        <v>2829</v>
      </c>
      <c r="E93" s="112" t="s">
        <v>279</v>
      </c>
      <c r="F93" s="92"/>
    </row>
    <row r="94" spans="1:6">
      <c r="A94" s="3"/>
      <c r="B94" s="3"/>
      <c r="C94" s="3"/>
      <c r="D94" s="3"/>
      <c r="E94" s="3" t="s">
        <v>2106</v>
      </c>
      <c r="F94" s="92"/>
    </row>
    <row r="95" spans="1:6">
      <c r="A95" s="3"/>
      <c r="B95" s="3"/>
      <c r="C95" s="3"/>
      <c r="D95" s="3"/>
      <c r="E95" s="3" t="s">
        <v>2106</v>
      </c>
      <c r="F95" s="92"/>
    </row>
    <row r="96" spans="1:6">
      <c r="A96" s="3"/>
      <c r="B96" s="3"/>
      <c r="C96" s="3"/>
      <c r="D96" s="3"/>
      <c r="E96" s="3" t="s">
        <v>2106</v>
      </c>
      <c r="F96" s="92"/>
    </row>
    <row r="97" spans="1:6">
      <c r="A97" s="92"/>
      <c r="B97" s="92"/>
      <c r="C97" s="92"/>
      <c r="D97" s="92"/>
      <c r="E97" s="92"/>
      <c r="F97" s="92"/>
    </row>
    <row r="98" spans="1:6" ht="15.75">
      <c r="A98" s="206" t="s">
        <v>412</v>
      </c>
      <c r="B98" s="206"/>
      <c r="C98" s="206"/>
      <c r="D98" s="206"/>
      <c r="E98" s="206"/>
      <c r="F98" s="92"/>
    </row>
    <row r="99" spans="1:6">
      <c r="A99" s="229" t="s">
        <v>2830</v>
      </c>
      <c r="B99" s="229"/>
      <c r="C99" s="229"/>
      <c r="D99" s="229"/>
      <c r="E99" s="229"/>
      <c r="F99" s="92"/>
    </row>
    <row r="100" spans="1:6">
      <c r="A100" s="92"/>
      <c r="B100" s="92"/>
      <c r="C100" s="92"/>
      <c r="D100" s="92"/>
      <c r="E100" s="92"/>
      <c r="F100" s="92"/>
    </row>
    <row r="101" spans="1:6">
      <c r="A101" s="92"/>
      <c r="B101" s="92"/>
      <c r="C101" s="92"/>
      <c r="D101" s="92"/>
      <c r="E101" s="92"/>
      <c r="F101" s="92"/>
    </row>
    <row r="102" spans="1:6">
      <c r="A102" s="92"/>
      <c r="B102" s="92"/>
      <c r="C102" s="92"/>
      <c r="D102" s="92"/>
      <c r="E102" s="92"/>
      <c r="F102" s="92"/>
    </row>
    <row r="103" spans="1:6">
      <c r="A103" s="92"/>
      <c r="B103" s="92"/>
      <c r="C103" s="92"/>
      <c r="D103" s="92"/>
      <c r="E103" s="92"/>
      <c r="F103" s="92"/>
    </row>
    <row r="104" spans="1:6">
      <c r="A104" s="92"/>
      <c r="B104" s="92"/>
      <c r="C104" s="92"/>
      <c r="D104" s="92"/>
      <c r="E104" s="92"/>
      <c r="F104" s="92"/>
    </row>
    <row r="105" spans="1:6">
      <c r="A105" s="92"/>
      <c r="B105" s="92"/>
      <c r="C105" s="92"/>
      <c r="D105" s="92"/>
      <c r="E105" s="92"/>
      <c r="F105" s="92"/>
    </row>
    <row r="106" spans="1:6">
      <c r="A106" s="92"/>
      <c r="B106" s="92"/>
      <c r="C106" s="92"/>
      <c r="D106" s="92"/>
      <c r="E106" s="92"/>
      <c r="F106" s="92"/>
    </row>
    <row r="107" spans="1:6">
      <c r="A107" s="128"/>
      <c r="B107" s="128"/>
      <c r="C107" s="128"/>
      <c r="D107" s="128"/>
      <c r="E107" s="128"/>
      <c r="F107" s="92"/>
    </row>
    <row r="108" spans="1:6">
      <c r="A108" s="121"/>
      <c r="B108" s="121"/>
      <c r="C108" s="121"/>
      <c r="D108" s="121"/>
      <c r="E108" s="121"/>
      <c r="F108" s="92"/>
    </row>
    <row r="109" spans="1:6">
      <c r="A109" s="92"/>
      <c r="B109" s="92"/>
      <c r="C109" s="92"/>
      <c r="D109" s="92"/>
      <c r="E109" s="92"/>
      <c r="F109" s="92"/>
    </row>
    <row r="110" spans="1:6">
      <c r="A110" s="92"/>
      <c r="B110" s="92"/>
      <c r="C110" s="92"/>
      <c r="D110" s="92"/>
      <c r="E110" s="92"/>
      <c r="F110" s="92"/>
    </row>
    <row r="111" spans="1:6">
      <c r="A111" s="92"/>
      <c r="B111" s="92"/>
      <c r="C111" s="92"/>
      <c r="D111" s="92"/>
      <c r="E111" s="92"/>
      <c r="F111" s="92"/>
    </row>
    <row r="112" spans="1:6">
      <c r="A112" s="92"/>
      <c r="B112" s="92"/>
      <c r="C112" s="92"/>
      <c r="D112" s="92"/>
      <c r="E112" s="92"/>
      <c r="F112" s="92"/>
    </row>
    <row r="113" spans="1:6">
      <c r="A113" s="92"/>
      <c r="B113" s="92"/>
      <c r="C113" s="92"/>
      <c r="D113" s="92"/>
      <c r="E113" s="92"/>
      <c r="F113" s="92"/>
    </row>
    <row r="114" spans="1:6">
      <c r="A114" s="92"/>
      <c r="B114" s="92"/>
      <c r="C114" s="92"/>
      <c r="D114" s="92"/>
      <c r="E114" s="92"/>
      <c r="F114" s="92"/>
    </row>
    <row r="115" spans="1:6">
      <c r="A115" s="92"/>
      <c r="B115" s="92"/>
      <c r="C115" s="92"/>
      <c r="D115" s="92"/>
      <c r="E115" s="92"/>
      <c r="F115" s="92"/>
    </row>
    <row r="116" spans="1:6">
      <c r="A116" s="92"/>
      <c r="B116" s="92"/>
      <c r="C116" s="92"/>
      <c r="D116" s="92"/>
      <c r="E116" s="92"/>
      <c r="F116" s="92"/>
    </row>
    <row r="117" spans="1:6">
      <c r="A117" s="92"/>
      <c r="B117" s="92"/>
      <c r="C117" s="92"/>
      <c r="D117" s="92"/>
      <c r="E117" s="92"/>
      <c r="F117" s="92"/>
    </row>
    <row r="118" spans="1:6">
      <c r="A118" s="92"/>
      <c r="B118" s="92"/>
      <c r="C118" s="92"/>
      <c r="D118" s="92"/>
      <c r="E118" s="92"/>
      <c r="F118" s="92"/>
    </row>
    <row r="119" spans="1:6">
      <c r="A119" s="92"/>
      <c r="B119" s="92"/>
      <c r="C119" s="92"/>
      <c r="D119" s="92"/>
      <c r="E119" s="92"/>
      <c r="F119" s="92"/>
    </row>
    <row r="120" spans="1:6">
      <c r="A120" s="92"/>
      <c r="B120" s="92"/>
      <c r="C120" s="92"/>
      <c r="D120" s="92"/>
      <c r="E120" s="92"/>
      <c r="F120" s="92"/>
    </row>
  </sheetData>
  <mergeCells count="21">
    <mergeCell ref="B3:E3"/>
    <mergeCell ref="A56:D56"/>
    <mergeCell ref="A73:C73"/>
    <mergeCell ref="A82:C82"/>
    <mergeCell ref="A84:D84"/>
    <mergeCell ref="A89:E89"/>
    <mergeCell ref="A17:E17"/>
    <mergeCell ref="A26:E26"/>
    <mergeCell ref="A28:E28"/>
    <mergeCell ref="A36:E36"/>
    <mergeCell ref="A38:D38"/>
    <mergeCell ref="A46:D46"/>
    <mergeCell ref="A92:E92"/>
    <mergeCell ref="A98:E98"/>
    <mergeCell ref="A99:E99"/>
    <mergeCell ref="A48:D48"/>
    <mergeCell ref="A58:E58"/>
    <mergeCell ref="A1:E1"/>
    <mergeCell ref="A2:E2"/>
    <mergeCell ref="A4:C4"/>
    <mergeCell ref="A10:D10"/>
  </mergeCells>
  <dataValidations count="1">
    <dataValidation type="list" allowBlank="1" showInputMessage="1" showErrorMessage="1" sqref="B34:B35 B37 B39:B42" xr:uid="{FE64A3EE-08EA-4B7D-A348-10DC6A4894A6}">
      <formula1>$Z$1:$Z$4</formula1>
    </dataValidation>
  </dataValidation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794D0-5E58-4E0C-88BD-B2D804B837DD}">
  <sheetPr>
    <tabColor rgb="FF6C7470"/>
  </sheetPr>
  <dimension ref="A1:F70"/>
  <sheetViews>
    <sheetView workbookViewId="0">
      <selection sqref="A1:F1"/>
    </sheetView>
  </sheetViews>
  <sheetFormatPr defaultRowHeight="15"/>
  <sheetData>
    <row r="1" spans="1:6" ht="23.25">
      <c r="A1" s="193" t="s">
        <v>2831</v>
      </c>
      <c r="B1" s="96"/>
      <c r="C1" s="96"/>
      <c r="D1" s="96"/>
      <c r="E1" s="96"/>
      <c r="F1" s="96"/>
    </row>
    <row r="2" spans="1:6">
      <c r="A2" s="132" t="s">
        <v>2832</v>
      </c>
      <c r="B2" s="97"/>
      <c r="C2" s="97"/>
      <c r="D2" s="97"/>
      <c r="E2" s="97"/>
      <c r="F2" s="97"/>
    </row>
    <row r="4" spans="1:6" ht="15.75">
      <c r="A4" s="206" t="s">
        <v>2833</v>
      </c>
      <c r="B4" s="206"/>
      <c r="C4" s="206"/>
    </row>
    <row r="5" spans="1:6">
      <c r="A5" s="22" t="s">
        <v>2834</v>
      </c>
      <c r="B5" s="22" t="s">
        <v>304</v>
      </c>
      <c r="C5" s="22" t="s">
        <v>2835</v>
      </c>
    </row>
    <row r="6" spans="1:6">
      <c r="A6" t="s">
        <v>2836</v>
      </c>
      <c r="B6" s="86" t="s">
        <v>994</v>
      </c>
      <c r="C6" t="s">
        <v>2837</v>
      </c>
    </row>
    <row r="7" spans="1:6">
      <c r="A7" t="s">
        <v>2838</v>
      </c>
      <c r="B7" t="s">
        <v>2839</v>
      </c>
      <c r="C7" t="s">
        <v>2840</v>
      </c>
    </row>
    <row r="8" spans="1:6">
      <c r="A8" t="s">
        <v>949</v>
      </c>
      <c r="B8" s="3" t="s">
        <v>993</v>
      </c>
      <c r="C8" t="s">
        <v>500</v>
      </c>
    </row>
    <row r="9" spans="1:6">
      <c r="A9" t="s">
        <v>958</v>
      </c>
      <c r="B9" s="3" t="s">
        <v>998</v>
      </c>
      <c r="C9" t="s">
        <v>53</v>
      </c>
    </row>
    <row r="10" spans="1:6">
      <c r="A10" t="s">
        <v>952</v>
      </c>
      <c r="B10" t="s">
        <v>972</v>
      </c>
      <c r="C10" t="s">
        <v>500</v>
      </c>
    </row>
    <row r="11" spans="1:6">
      <c r="A11" t="s">
        <v>956</v>
      </c>
      <c r="B11" s="3" t="s">
        <v>996</v>
      </c>
      <c r="C11" t="s">
        <v>2841</v>
      </c>
    </row>
    <row r="12" spans="1:6">
      <c r="A12" t="s">
        <v>953</v>
      </c>
      <c r="B12" s="3" t="s">
        <v>2842</v>
      </c>
      <c r="C12" t="s">
        <v>2843</v>
      </c>
    </row>
    <row r="13" spans="1:6">
      <c r="A13" t="s">
        <v>957</v>
      </c>
      <c r="B13" s="3" t="s">
        <v>997</v>
      </c>
      <c r="C13" t="s">
        <v>2844</v>
      </c>
    </row>
    <row r="14" spans="1:6">
      <c r="A14" t="s">
        <v>1043</v>
      </c>
      <c r="B14" s="3" t="s">
        <v>2845</v>
      </c>
      <c r="C14" t="s">
        <v>2846</v>
      </c>
    </row>
    <row r="16" spans="1:6" ht="15.75">
      <c r="A16" s="206" t="s">
        <v>2847</v>
      </c>
      <c r="B16" s="206"/>
      <c r="C16" s="206"/>
      <c r="D16" s="206"/>
      <c r="E16" s="206"/>
      <c r="F16" s="206"/>
    </row>
    <row r="17" spans="1:6">
      <c r="A17" s="22" t="s">
        <v>2848</v>
      </c>
      <c r="B17" s="22" t="s">
        <v>2403</v>
      </c>
      <c r="C17" s="22" t="s">
        <v>2849</v>
      </c>
      <c r="D17" s="22" t="s">
        <v>2850</v>
      </c>
      <c r="E17" s="22" t="s">
        <v>2851</v>
      </c>
      <c r="F17" s="22" t="s">
        <v>2852</v>
      </c>
    </row>
    <row r="18" spans="1:6">
      <c r="A18" t="s">
        <v>2308</v>
      </c>
      <c r="B18" s="61" t="s">
        <v>2253</v>
      </c>
      <c r="C18" t="s">
        <v>2853</v>
      </c>
      <c r="D18" t="s">
        <v>2854</v>
      </c>
      <c r="E18" t="s">
        <v>2272</v>
      </c>
      <c r="F18" t="s">
        <v>2855</v>
      </c>
    </row>
    <row r="19" spans="1:6">
      <c r="A19" t="s">
        <v>2314</v>
      </c>
      <c r="B19" s="61" t="s">
        <v>2253</v>
      </c>
      <c r="C19" t="s">
        <v>2856</v>
      </c>
      <c r="D19" t="s">
        <v>2857</v>
      </c>
      <c r="E19" t="s">
        <v>2858</v>
      </c>
      <c r="F19" t="s">
        <v>2859</v>
      </c>
    </row>
    <row r="20" spans="1:6">
      <c r="A20" t="s">
        <v>2280</v>
      </c>
      <c r="B20" s="61" t="s">
        <v>2253</v>
      </c>
      <c r="C20" t="s">
        <v>2860</v>
      </c>
      <c r="D20" t="s">
        <v>2861</v>
      </c>
      <c r="E20" t="s">
        <v>2862</v>
      </c>
      <c r="F20" t="s">
        <v>2863</v>
      </c>
    </row>
    <row r="21" spans="1:6">
      <c r="A21" t="s">
        <v>2322</v>
      </c>
      <c r="B21" s="61" t="s">
        <v>2253</v>
      </c>
      <c r="C21" t="s">
        <v>2864</v>
      </c>
      <c r="D21" t="s">
        <v>2865</v>
      </c>
      <c r="E21" t="s">
        <v>2272</v>
      </c>
      <c r="F21" t="s">
        <v>2866</v>
      </c>
    </row>
    <row r="22" spans="1:6">
      <c r="A22" t="s">
        <v>2326</v>
      </c>
      <c r="B22" s="61" t="s">
        <v>2253</v>
      </c>
      <c r="C22" t="s">
        <v>2867</v>
      </c>
      <c r="D22" t="s">
        <v>2868</v>
      </c>
      <c r="E22" t="s">
        <v>2272</v>
      </c>
      <c r="F22" t="s">
        <v>2869</v>
      </c>
    </row>
    <row r="23" spans="1:6">
      <c r="A23" t="s">
        <v>2330</v>
      </c>
      <c r="B23" s="61" t="s">
        <v>2253</v>
      </c>
      <c r="C23" t="s">
        <v>2870</v>
      </c>
      <c r="D23" t="s">
        <v>2871</v>
      </c>
      <c r="E23" t="s">
        <v>2872</v>
      </c>
      <c r="F23" t="s">
        <v>2873</v>
      </c>
    </row>
    <row r="24" spans="1:6">
      <c r="A24" t="s">
        <v>2225</v>
      </c>
      <c r="B24" s="61" t="s">
        <v>2253</v>
      </c>
      <c r="C24" t="s">
        <v>2874</v>
      </c>
      <c r="D24" t="s">
        <v>2875</v>
      </c>
      <c r="E24" t="s">
        <v>2876</v>
      </c>
      <c r="F24" t="s">
        <v>2877</v>
      </c>
    </row>
    <row r="25" spans="1:6">
      <c r="A25" t="s">
        <v>2338</v>
      </c>
      <c r="B25" s="61" t="s">
        <v>2253</v>
      </c>
      <c r="C25" t="s">
        <v>2878</v>
      </c>
      <c r="D25" t="s">
        <v>2879</v>
      </c>
      <c r="E25" t="s">
        <v>2880</v>
      </c>
      <c r="F25" t="s">
        <v>2881</v>
      </c>
    </row>
    <row r="26" spans="1:6">
      <c r="A26" t="s">
        <v>2342</v>
      </c>
      <c r="B26" s="61" t="s">
        <v>2253</v>
      </c>
      <c r="C26" t="s">
        <v>2882</v>
      </c>
      <c r="D26" t="s">
        <v>2883</v>
      </c>
      <c r="E26" t="s">
        <v>2884</v>
      </c>
      <c r="F26" t="s">
        <v>2766</v>
      </c>
    </row>
    <row r="27" spans="1:6">
      <c r="A27" t="s">
        <v>2346</v>
      </c>
      <c r="B27" s="61" t="s">
        <v>2253</v>
      </c>
      <c r="C27" t="s">
        <v>2885</v>
      </c>
      <c r="D27" t="s">
        <v>2886</v>
      </c>
      <c r="E27" t="s">
        <v>2272</v>
      </c>
      <c r="F27" t="s">
        <v>2766</v>
      </c>
    </row>
    <row r="28" spans="1:6">
      <c r="A28" t="s">
        <v>2887</v>
      </c>
      <c r="B28" s="28" t="s">
        <v>2257</v>
      </c>
      <c r="C28" t="s">
        <v>2888</v>
      </c>
      <c r="D28" t="s">
        <v>2889</v>
      </c>
      <c r="E28" t="s">
        <v>2890</v>
      </c>
      <c r="F28" t="s">
        <v>2891</v>
      </c>
    </row>
    <row r="29" spans="1:6">
      <c r="A29" t="s">
        <v>2892</v>
      </c>
      <c r="B29" s="28" t="s">
        <v>2257</v>
      </c>
      <c r="C29" t="s">
        <v>2893</v>
      </c>
      <c r="D29" t="s">
        <v>2894</v>
      </c>
      <c r="E29" t="s">
        <v>2895</v>
      </c>
      <c r="F29" t="s">
        <v>2785</v>
      </c>
    </row>
    <row r="30" spans="1:6">
      <c r="A30" t="s">
        <v>2896</v>
      </c>
      <c r="B30" s="28" t="s">
        <v>2257</v>
      </c>
      <c r="C30" t="s">
        <v>2897</v>
      </c>
      <c r="D30" t="s">
        <v>2898</v>
      </c>
      <c r="E30" t="s">
        <v>2899</v>
      </c>
      <c r="F30" t="s">
        <v>2785</v>
      </c>
    </row>
    <row r="31" spans="1:6">
      <c r="A31" s="225" t="s">
        <v>2900</v>
      </c>
      <c r="B31" s="225"/>
      <c r="C31" s="225"/>
      <c r="D31" s="225"/>
      <c r="E31" s="225"/>
      <c r="F31" s="225"/>
    </row>
    <row r="33" spans="1:5" ht="15.75">
      <c r="A33" s="206" t="s">
        <v>2901</v>
      </c>
      <c r="B33" s="206"/>
      <c r="C33" s="206"/>
      <c r="D33" s="206"/>
      <c r="E33" s="206"/>
    </row>
    <row r="34" spans="1:5">
      <c r="A34" s="22" t="s">
        <v>2460</v>
      </c>
      <c r="B34" s="22" t="s">
        <v>2902</v>
      </c>
      <c r="C34" s="22" t="s">
        <v>2903</v>
      </c>
      <c r="D34" s="22" t="s">
        <v>2904</v>
      </c>
      <c r="E34" s="22" t="s">
        <v>2905</v>
      </c>
    </row>
    <row r="35" spans="1:5">
      <c r="A35" t="s">
        <v>601</v>
      </c>
      <c r="B35" t="s">
        <v>2906</v>
      </c>
      <c r="C35" t="s">
        <v>2907</v>
      </c>
      <c r="D35" t="s">
        <v>2908</v>
      </c>
      <c r="E35" t="s">
        <v>2909</v>
      </c>
    </row>
    <row r="36" spans="1:5">
      <c r="A36" t="s">
        <v>1323</v>
      </c>
      <c r="B36" t="s">
        <v>2910</v>
      </c>
      <c r="C36" t="s">
        <v>2911</v>
      </c>
      <c r="D36" t="s">
        <v>2912</v>
      </c>
      <c r="E36" t="s">
        <v>2913</v>
      </c>
    </row>
    <row r="37" spans="1:5">
      <c r="A37" t="s">
        <v>1335</v>
      </c>
      <c r="B37" t="s">
        <v>2914</v>
      </c>
      <c r="C37" t="s">
        <v>2915</v>
      </c>
      <c r="D37" t="s">
        <v>2916</v>
      </c>
      <c r="E37" t="s">
        <v>2917</v>
      </c>
    </row>
    <row r="38" spans="1:5">
      <c r="A38" t="s">
        <v>2477</v>
      </c>
      <c r="B38" t="s">
        <v>2918</v>
      </c>
      <c r="C38" t="s">
        <v>2919</v>
      </c>
      <c r="D38" t="s">
        <v>2920</v>
      </c>
      <c r="E38" t="s">
        <v>2921</v>
      </c>
    </row>
    <row r="39" spans="1:5">
      <c r="A39" t="s">
        <v>2482</v>
      </c>
      <c r="B39" t="s">
        <v>2922</v>
      </c>
      <c r="C39" t="s">
        <v>2923</v>
      </c>
      <c r="D39" t="s">
        <v>2924</v>
      </c>
      <c r="E39" t="s">
        <v>2925</v>
      </c>
    </row>
    <row r="40" spans="1:5">
      <c r="A40" s="225" t="s">
        <v>2926</v>
      </c>
      <c r="B40" s="225"/>
      <c r="C40" s="225"/>
      <c r="D40" s="225"/>
      <c r="E40" s="225"/>
    </row>
    <row r="42" spans="1:5" ht="15.75">
      <c r="A42" s="206" t="s">
        <v>2927</v>
      </c>
      <c r="B42" s="206"/>
      <c r="C42" s="206"/>
    </row>
    <row r="43" spans="1:5">
      <c r="A43" s="22" t="s">
        <v>318</v>
      </c>
      <c r="B43" s="22" t="s">
        <v>2928</v>
      </c>
      <c r="C43" s="22" t="s">
        <v>2929</v>
      </c>
    </row>
    <row r="44" spans="1:5">
      <c r="A44" t="s">
        <v>325</v>
      </c>
      <c r="B44" t="s">
        <v>2930</v>
      </c>
      <c r="C44" t="s">
        <v>2931</v>
      </c>
    </row>
    <row r="45" spans="1:5">
      <c r="A45" t="s">
        <v>2932</v>
      </c>
      <c r="B45" t="s">
        <v>2933</v>
      </c>
      <c r="C45" t="s">
        <v>2934</v>
      </c>
    </row>
    <row r="46" spans="1:5">
      <c r="A46" t="s">
        <v>2819</v>
      </c>
      <c r="B46" t="s">
        <v>2935</v>
      </c>
      <c r="C46" t="s">
        <v>2936</v>
      </c>
    </row>
    <row r="47" spans="1:5">
      <c r="A47" t="s">
        <v>2822</v>
      </c>
      <c r="B47" t="s">
        <v>2937</v>
      </c>
      <c r="C47" t="s">
        <v>2938</v>
      </c>
    </row>
    <row r="49" spans="1:3" ht="15.75">
      <c r="A49" s="206" t="s">
        <v>2939</v>
      </c>
      <c r="B49" s="206"/>
    </row>
    <row r="50" spans="1:3">
      <c r="A50" s="22" t="s">
        <v>2940</v>
      </c>
      <c r="B50" s="22" t="s">
        <v>2941</v>
      </c>
    </row>
    <row r="51" spans="1:3">
      <c r="A51" t="s">
        <v>2942</v>
      </c>
      <c r="B51" t="s">
        <v>2943</v>
      </c>
    </row>
    <row r="52" spans="1:3">
      <c r="A52" t="s">
        <v>2944</v>
      </c>
      <c r="B52" t="s">
        <v>2945</v>
      </c>
    </row>
    <row r="53" spans="1:3">
      <c r="A53" t="s">
        <v>500</v>
      </c>
      <c r="B53" t="s">
        <v>2946</v>
      </c>
    </row>
    <row r="54" spans="1:3">
      <c r="A54" t="s">
        <v>53</v>
      </c>
      <c r="B54" t="s">
        <v>2947</v>
      </c>
    </row>
    <row r="55" spans="1:3">
      <c r="A55" t="s">
        <v>526</v>
      </c>
      <c r="B55" t="s">
        <v>2948</v>
      </c>
    </row>
    <row r="56" spans="1:3">
      <c r="A56" t="s">
        <v>2949</v>
      </c>
      <c r="B56" t="s">
        <v>2950</v>
      </c>
    </row>
    <row r="57" spans="1:3">
      <c r="A57" t="s">
        <v>48</v>
      </c>
      <c r="B57" t="s">
        <v>2951</v>
      </c>
    </row>
    <row r="58" spans="1:3">
      <c r="A58" t="s">
        <v>2952</v>
      </c>
      <c r="B58" t="s">
        <v>2953</v>
      </c>
    </row>
    <row r="59" spans="1:3">
      <c r="A59" t="s">
        <v>2954</v>
      </c>
      <c r="B59" t="s">
        <v>2955</v>
      </c>
    </row>
    <row r="61" spans="1:3" ht="15.75">
      <c r="A61" s="206" t="s">
        <v>2956</v>
      </c>
      <c r="B61" s="206"/>
      <c r="C61" s="206"/>
    </row>
    <row r="62" spans="1:3">
      <c r="A62" s="22" t="s">
        <v>2629</v>
      </c>
      <c r="B62" s="22" t="s">
        <v>2113</v>
      </c>
      <c r="C62" s="22" t="s">
        <v>305</v>
      </c>
    </row>
    <row r="63" spans="1:3">
      <c r="A63" t="s">
        <v>2957</v>
      </c>
      <c r="B63" s="3"/>
      <c r="C63" t="s">
        <v>2958</v>
      </c>
    </row>
    <row r="64" spans="1:3">
      <c r="A64" t="s">
        <v>2959</v>
      </c>
      <c r="B64" s="3"/>
      <c r="C64" t="s">
        <v>2960</v>
      </c>
    </row>
    <row r="65" spans="1:5">
      <c r="A65" t="s">
        <v>2961</v>
      </c>
      <c r="B65" s="3"/>
      <c r="C65" t="s">
        <v>2962</v>
      </c>
    </row>
    <row r="66" spans="1:5">
      <c r="A66" t="s">
        <v>2963</v>
      </c>
      <c r="B66" s="3"/>
      <c r="C66" t="s">
        <v>2964</v>
      </c>
    </row>
    <row r="67" spans="1:5">
      <c r="A67" t="s">
        <v>2965</v>
      </c>
      <c r="B67" s="3"/>
      <c r="C67" t="s">
        <v>2966</v>
      </c>
    </row>
    <row r="68" spans="1:5">
      <c r="A68" t="s">
        <v>2967</v>
      </c>
      <c r="B68" s="3"/>
      <c r="C68" t="s">
        <v>2968</v>
      </c>
    </row>
    <row r="70" spans="1:5">
      <c r="A70" s="205" t="s">
        <v>2969</v>
      </c>
      <c r="B70" s="205"/>
      <c r="C70" s="205"/>
      <c r="D70" s="205"/>
      <c r="E70" s="205"/>
    </row>
  </sheetData>
  <mergeCells count="11">
    <mergeCell ref="A40:E40"/>
    <mergeCell ref="A42:C42"/>
    <mergeCell ref="A49:B49"/>
    <mergeCell ref="A61:C61"/>
    <mergeCell ref="A70:E70"/>
    <mergeCell ref="A1:F1"/>
    <mergeCell ref="A2:F2"/>
    <mergeCell ref="A4:C4"/>
    <mergeCell ref="A16:F16"/>
    <mergeCell ref="A31:F31"/>
    <mergeCell ref="A33:E33"/>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85733-A294-43CD-A4E4-7DE7E39B72CB}">
  <sheetPr>
    <tabColor rgb="FF6C7470"/>
  </sheetPr>
  <dimension ref="A1:H39"/>
  <sheetViews>
    <sheetView workbookViewId="0"/>
  </sheetViews>
  <sheetFormatPr defaultRowHeight="15"/>
  <cols>
    <col min="1" max="1" width="80" customWidth="1"/>
    <col min="2" max="2" width="11.140625" bestFit="1" customWidth="1"/>
  </cols>
  <sheetData>
    <row r="1" spans="1:8" ht="21">
      <c r="A1" s="193" t="s">
        <v>2970</v>
      </c>
      <c r="B1" s="82"/>
      <c r="C1" s="82"/>
      <c r="D1" s="82"/>
    </row>
    <row r="2" spans="1:8">
      <c r="A2" s="207" t="s">
        <v>2971</v>
      </c>
      <c r="B2" s="205"/>
      <c r="C2" s="205"/>
      <c r="D2" s="205"/>
    </row>
    <row r="4" spans="1:8">
      <c r="A4" s="233" t="s">
        <v>2972</v>
      </c>
      <c r="B4" s="233"/>
      <c r="C4" s="233"/>
      <c r="D4" s="233"/>
    </row>
    <row r="5" spans="1:8">
      <c r="A5" s="53" t="s">
        <v>817</v>
      </c>
      <c r="B5" s="53" t="s">
        <v>970</v>
      </c>
      <c r="C5" s="53"/>
      <c r="D5" s="53"/>
      <c r="E5" s="53"/>
      <c r="F5" s="53"/>
      <c r="G5" s="53"/>
      <c r="H5" s="53"/>
    </row>
    <row r="6" spans="1:8">
      <c r="A6" t="s">
        <v>2973</v>
      </c>
      <c r="B6" s="3" t="s">
        <v>2974</v>
      </c>
    </row>
    <row r="7" spans="1:8">
      <c r="A7" t="s">
        <v>2007</v>
      </c>
      <c r="B7" s="4">
        <v>45993</v>
      </c>
    </row>
    <row r="8" spans="1:8">
      <c r="A8" t="s">
        <v>2975</v>
      </c>
      <c r="B8" s="3" t="s">
        <v>2976</v>
      </c>
    </row>
    <row r="9" spans="1:8">
      <c r="A9" t="s">
        <v>2977</v>
      </c>
      <c r="B9" s="3" t="s">
        <v>2978</v>
      </c>
    </row>
    <row r="10" spans="1:8">
      <c r="A10" t="s">
        <v>2979</v>
      </c>
      <c r="B10" s="3" t="s">
        <v>2980</v>
      </c>
    </row>
    <row r="11" spans="1:8">
      <c r="A11" t="s">
        <v>2981</v>
      </c>
      <c r="B11" s="3" t="s">
        <v>2982</v>
      </c>
    </row>
    <row r="12" spans="1:8">
      <c r="A12" t="s">
        <v>2983</v>
      </c>
      <c r="B12" s="3" t="s">
        <v>2984</v>
      </c>
    </row>
    <row r="14" spans="1:8">
      <c r="A14" s="233" t="s">
        <v>2985</v>
      </c>
      <c r="B14" s="233"/>
      <c r="C14" s="233"/>
      <c r="D14" s="233"/>
    </row>
    <row r="15" spans="1:8">
      <c r="A15" s="22" t="s">
        <v>2986</v>
      </c>
      <c r="B15" s="22" t="s">
        <v>2987</v>
      </c>
      <c r="C15" s="22" t="s">
        <v>2988</v>
      </c>
      <c r="D15" s="22" t="s">
        <v>28</v>
      </c>
    </row>
    <row r="16" spans="1:8">
      <c r="A16" t="s">
        <v>2989</v>
      </c>
      <c r="B16" s="3" t="s">
        <v>2990</v>
      </c>
      <c r="C16" s="3" t="s">
        <v>2991</v>
      </c>
      <c r="D16" s="3" t="s">
        <v>2992</v>
      </c>
    </row>
    <row r="17" spans="1:4">
      <c r="A17" t="s">
        <v>2993</v>
      </c>
      <c r="B17" s="3" t="s">
        <v>2994</v>
      </c>
      <c r="C17" s="3" t="s">
        <v>2995</v>
      </c>
      <c r="D17" s="3" t="s">
        <v>2996</v>
      </c>
    </row>
    <row r="18" spans="1:4">
      <c r="A18" t="s">
        <v>1600</v>
      </c>
      <c r="B18" s="3" t="s">
        <v>2997</v>
      </c>
      <c r="C18" s="3" t="s">
        <v>2998</v>
      </c>
      <c r="D18" s="3" t="s">
        <v>2992</v>
      </c>
    </row>
    <row r="19" spans="1:4">
      <c r="A19" t="s">
        <v>2999</v>
      </c>
      <c r="B19" s="3" t="s">
        <v>3000</v>
      </c>
      <c r="C19" s="3" t="s">
        <v>3001</v>
      </c>
      <c r="D19" s="3" t="s">
        <v>3002</v>
      </c>
    </row>
    <row r="20" spans="1:4">
      <c r="A20" t="s">
        <v>3003</v>
      </c>
      <c r="B20" s="3" t="s">
        <v>2230</v>
      </c>
      <c r="C20" s="3" t="s">
        <v>3004</v>
      </c>
      <c r="D20" s="3" t="s">
        <v>3005</v>
      </c>
    </row>
    <row r="22" spans="1:4">
      <c r="A22" s="233" t="s">
        <v>3006</v>
      </c>
      <c r="B22" s="233"/>
      <c r="C22" s="233"/>
      <c r="D22" s="233"/>
    </row>
    <row r="23" spans="1:4">
      <c r="A23" s="22" t="s">
        <v>2629</v>
      </c>
      <c r="B23" s="22" t="s">
        <v>279</v>
      </c>
      <c r="C23" s="22" t="s">
        <v>28</v>
      </c>
      <c r="D23" s="22" t="s">
        <v>3007</v>
      </c>
    </row>
    <row r="24" spans="1:4">
      <c r="A24" t="s">
        <v>3008</v>
      </c>
      <c r="B24" s="3" t="s">
        <v>2113</v>
      </c>
      <c r="C24" s="3" t="s">
        <v>1325</v>
      </c>
      <c r="D24" s="3"/>
    </row>
    <row r="25" spans="1:4">
      <c r="A25" t="s">
        <v>3009</v>
      </c>
      <c r="B25" s="3" t="s">
        <v>2113</v>
      </c>
      <c r="C25" s="3" t="s">
        <v>33</v>
      </c>
      <c r="D25" s="3"/>
    </row>
    <row r="26" spans="1:4">
      <c r="A26" t="s">
        <v>3010</v>
      </c>
      <c r="B26" s="3" t="s">
        <v>2113</v>
      </c>
      <c r="C26" s="3" t="s">
        <v>38</v>
      </c>
      <c r="D26" s="3"/>
    </row>
    <row r="27" spans="1:4">
      <c r="A27" t="s">
        <v>3011</v>
      </c>
      <c r="B27" s="3" t="s">
        <v>1115</v>
      </c>
      <c r="C27" s="3" t="s">
        <v>3012</v>
      </c>
      <c r="D27" s="3"/>
    </row>
    <row r="28" spans="1:4">
      <c r="A28" t="s">
        <v>3013</v>
      </c>
      <c r="B28" s="3" t="s">
        <v>1114</v>
      </c>
      <c r="C28" s="3" t="s">
        <v>52</v>
      </c>
      <c r="D28" s="3" t="s">
        <v>3014</v>
      </c>
    </row>
    <row r="29" spans="1:4">
      <c r="A29" t="s">
        <v>3015</v>
      </c>
      <c r="B29" s="3" t="s">
        <v>1114</v>
      </c>
      <c r="C29" s="3" t="s">
        <v>38</v>
      </c>
      <c r="D29" s="3"/>
    </row>
    <row r="30" spans="1:4">
      <c r="A30" t="s">
        <v>3016</v>
      </c>
      <c r="B30" s="3" t="s">
        <v>1114</v>
      </c>
      <c r="C30" s="3" t="s">
        <v>52</v>
      </c>
      <c r="D30" s="3"/>
    </row>
    <row r="31" spans="1:4">
      <c r="A31" t="s">
        <v>3017</v>
      </c>
      <c r="B31" s="3" t="s">
        <v>1115</v>
      </c>
      <c r="C31" s="3" t="s">
        <v>38</v>
      </c>
      <c r="D31" s="3"/>
    </row>
    <row r="32" spans="1:4">
      <c r="A32" t="s">
        <v>3018</v>
      </c>
      <c r="B32" s="3" t="s">
        <v>2113</v>
      </c>
      <c r="C32" s="3" t="s">
        <v>33</v>
      </c>
      <c r="D32" s="3"/>
    </row>
    <row r="34" spans="1:4">
      <c r="A34" s="233" t="s">
        <v>3019</v>
      </c>
      <c r="B34" s="233"/>
      <c r="C34" s="233"/>
      <c r="D34" s="233"/>
    </row>
    <row r="35" spans="1:4">
      <c r="A35" t="s">
        <v>3020</v>
      </c>
    </row>
    <row r="36" spans="1:4">
      <c r="A36" t="s">
        <v>3021</v>
      </c>
    </row>
    <row r="37" spans="1:4">
      <c r="A37" t="s">
        <v>3022</v>
      </c>
    </row>
    <row r="38" spans="1:4">
      <c r="A38" t="s">
        <v>3023</v>
      </c>
    </row>
    <row r="39" spans="1:4">
      <c r="A39" t="s">
        <v>3024</v>
      </c>
    </row>
  </sheetData>
  <mergeCells count="6">
    <mergeCell ref="A34:D34"/>
    <mergeCell ref="A1:D1"/>
    <mergeCell ref="A2:D2"/>
    <mergeCell ref="A4:D4"/>
    <mergeCell ref="A14:D14"/>
    <mergeCell ref="A22:D22"/>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E35E1-3999-4080-AECE-DB6CA0357037}">
  <sheetPr>
    <tabColor rgb="FF6C7470"/>
  </sheetPr>
  <dimension ref="A1:Z9"/>
  <sheetViews>
    <sheetView workbookViewId="0"/>
  </sheetViews>
  <sheetFormatPr defaultRowHeight="15"/>
  <cols>
    <col min="5" max="5" width="11.140625" bestFit="1" customWidth="1"/>
    <col min="16" max="16" width="11.140625" bestFit="1" customWidth="1"/>
    <col min="26" max="26" width="0" hidden="1" customWidth="1"/>
  </cols>
  <sheetData>
    <row r="1" spans="1:26" ht="21">
      <c r="A1" s="82" t="s">
        <v>3025</v>
      </c>
      <c r="B1" s="82"/>
      <c r="C1" s="82"/>
      <c r="D1" s="82"/>
      <c r="E1" s="82"/>
      <c r="F1" s="82"/>
      <c r="G1" s="82"/>
      <c r="H1" s="82"/>
      <c r="I1" s="82"/>
      <c r="J1" s="82"/>
      <c r="K1" s="82"/>
      <c r="L1" s="82"/>
      <c r="M1" s="82"/>
      <c r="N1" s="82"/>
      <c r="O1" s="82"/>
      <c r="P1" s="82"/>
      <c r="Q1" s="82"/>
      <c r="Z1" t="s">
        <v>338</v>
      </c>
    </row>
    <row r="2" spans="1:26">
      <c r="A2" s="207" t="s">
        <v>3026</v>
      </c>
      <c r="B2" s="205"/>
      <c r="C2" s="205"/>
      <c r="D2" s="205"/>
      <c r="E2" s="205"/>
      <c r="F2" s="205"/>
      <c r="G2" s="205"/>
      <c r="H2" s="205"/>
      <c r="I2" s="205"/>
      <c r="J2" s="205"/>
      <c r="K2" s="205"/>
      <c r="L2" s="205"/>
      <c r="M2" s="205"/>
      <c r="N2" s="205"/>
      <c r="O2" s="205"/>
      <c r="P2" s="205"/>
      <c r="Q2" s="205"/>
      <c r="Z2" t="s">
        <v>340</v>
      </c>
    </row>
    <row r="3" spans="1:26">
      <c r="A3" s="28" t="s">
        <v>275</v>
      </c>
      <c r="B3" s="89" t="s">
        <v>3027</v>
      </c>
      <c r="C3" s="89" t="s">
        <v>3028</v>
      </c>
      <c r="D3" s="89" t="s">
        <v>3029</v>
      </c>
      <c r="E3" s="164"/>
      <c r="F3" s="164"/>
      <c r="G3" s="164"/>
      <c r="H3" s="164"/>
      <c r="I3" s="164"/>
      <c r="J3" s="164"/>
      <c r="K3" s="164"/>
      <c r="L3" s="164"/>
      <c r="M3" s="164"/>
      <c r="N3" s="164"/>
      <c r="O3" s="164"/>
      <c r="P3" s="164"/>
      <c r="Q3" s="164"/>
      <c r="Z3" t="s">
        <v>342</v>
      </c>
    </row>
    <row r="4" spans="1:26">
      <c r="A4" s="164" t="s">
        <v>3030</v>
      </c>
      <c r="B4" s="171" t="s">
        <v>3031</v>
      </c>
      <c r="C4" s="166" t="s">
        <v>3032</v>
      </c>
      <c r="D4" s="171" t="s">
        <v>52</v>
      </c>
      <c r="E4" t="s">
        <v>3033</v>
      </c>
      <c r="F4" s="2">
        <f>COUNTIF(TablePortfolio[Health],"At Risk")+COUNTIF(TablePortfolio[Health],"Critical")</f>
        <v>0</v>
      </c>
      <c r="Z4" t="s">
        <v>344</v>
      </c>
    </row>
    <row r="5" spans="1:26">
      <c r="A5" t="s">
        <v>3034</v>
      </c>
      <c r="B5" s="2">
        <f>COUNTA(TablePortfolio[PF ID])</f>
        <v>3</v>
      </c>
      <c r="C5" t="s">
        <v>3035</v>
      </c>
      <c r="D5" s="2">
        <f>COUNTIF(TablePortfolio[Health],"On Track")</f>
        <v>3</v>
      </c>
      <c r="E5" t="s">
        <v>3036</v>
      </c>
      <c r="F5" s="2">
        <f>COUNTIF(TablePortfolio[Health],"At Risk")+COUNTIF(TablePortfolio[Health],"Critical")</f>
        <v>0</v>
      </c>
    </row>
    <row r="6" spans="1:26">
      <c r="A6" s="53" t="s">
        <v>3037</v>
      </c>
      <c r="B6" s="53" t="s">
        <v>817</v>
      </c>
      <c r="C6" s="53" t="s">
        <v>1656</v>
      </c>
      <c r="D6" s="53" t="s">
        <v>536</v>
      </c>
      <c r="E6" s="53" t="s">
        <v>1679</v>
      </c>
      <c r="F6" s="53" t="s">
        <v>3038</v>
      </c>
      <c r="G6" s="53" t="s">
        <v>3039</v>
      </c>
      <c r="H6" s="53" t="s">
        <v>284</v>
      </c>
      <c r="I6" s="53" t="s">
        <v>2771</v>
      </c>
      <c r="J6" s="53" t="s">
        <v>286</v>
      </c>
      <c r="K6" s="53" t="s">
        <v>2777</v>
      </c>
      <c r="L6" s="53" t="s">
        <v>287</v>
      </c>
      <c r="M6" s="53" t="s">
        <v>2225</v>
      </c>
      <c r="N6" s="53" t="s">
        <v>2338</v>
      </c>
      <c r="O6" s="53" t="s">
        <v>3040</v>
      </c>
      <c r="P6" s="53" t="s">
        <v>2227</v>
      </c>
      <c r="Q6" s="53" t="s">
        <v>305</v>
      </c>
    </row>
    <row r="7" spans="1:26">
      <c r="A7" s="3" t="s">
        <v>975</v>
      </c>
      <c r="B7" s="3" t="s">
        <v>970</v>
      </c>
      <c r="C7" s="3" t="s">
        <v>1680</v>
      </c>
      <c r="D7" s="3" t="s">
        <v>2976</v>
      </c>
      <c r="E7" s="4">
        <v>45993</v>
      </c>
      <c r="F7" s="3" t="s">
        <v>976</v>
      </c>
      <c r="G7" s="3" t="s">
        <v>38</v>
      </c>
      <c r="H7" s="9">
        <v>120</v>
      </c>
      <c r="I7" s="13">
        <v>0.12</v>
      </c>
      <c r="J7" s="9">
        <v>45</v>
      </c>
      <c r="K7" s="12">
        <v>14</v>
      </c>
      <c r="L7" s="9">
        <v>630</v>
      </c>
      <c r="M7" s="3" t="s">
        <v>338</v>
      </c>
      <c r="N7" s="3" t="s">
        <v>3041</v>
      </c>
      <c r="O7" s="3" t="s">
        <v>3042</v>
      </c>
      <c r="P7" s="4">
        <v>46096</v>
      </c>
      <c r="Q7" s="3" t="s">
        <v>3043</v>
      </c>
    </row>
    <row r="8" spans="1:26">
      <c r="A8" s="3" t="s">
        <v>982</v>
      </c>
      <c r="B8" s="3" t="s">
        <v>979</v>
      </c>
      <c r="C8" s="3" t="s">
        <v>3044</v>
      </c>
      <c r="D8" s="3" t="s">
        <v>2976</v>
      </c>
      <c r="E8" s="4">
        <v>45809</v>
      </c>
      <c r="F8" s="3" t="s">
        <v>976</v>
      </c>
      <c r="G8" s="3" t="s">
        <v>38</v>
      </c>
      <c r="H8" s="9">
        <v>480</v>
      </c>
      <c r="I8" s="13">
        <v>0.08</v>
      </c>
      <c r="J8" s="9">
        <v>30</v>
      </c>
      <c r="K8" s="12">
        <v>18</v>
      </c>
      <c r="L8" s="9">
        <v>540</v>
      </c>
      <c r="M8" s="3" t="s">
        <v>338</v>
      </c>
      <c r="N8" s="3" t="s">
        <v>3045</v>
      </c>
      <c r="O8" s="3" t="s">
        <v>3046</v>
      </c>
      <c r="P8" s="4">
        <v>46091</v>
      </c>
      <c r="Q8" s="3" t="s">
        <v>3047</v>
      </c>
    </row>
    <row r="9" spans="1:26">
      <c r="A9" s="3" t="s">
        <v>998</v>
      </c>
      <c r="B9" s="3" t="s">
        <v>994</v>
      </c>
      <c r="C9" s="3" t="s">
        <v>3048</v>
      </c>
      <c r="D9" s="3" t="s">
        <v>2976</v>
      </c>
      <c r="E9" s="4"/>
      <c r="F9" s="3" t="s">
        <v>976</v>
      </c>
      <c r="G9" s="3" t="s">
        <v>38</v>
      </c>
      <c r="H9" s="9">
        <v>0</v>
      </c>
      <c r="I9" s="13">
        <v>0</v>
      </c>
      <c r="J9" s="9">
        <v>0</v>
      </c>
      <c r="K9" s="12">
        <v>0</v>
      </c>
      <c r="L9" s="9">
        <v>0</v>
      </c>
      <c r="M9" s="3" t="s">
        <v>338</v>
      </c>
      <c r="N9" s="3" t="s">
        <v>3049</v>
      </c>
      <c r="O9" s="3" t="s">
        <v>3050</v>
      </c>
      <c r="P9" s="4"/>
      <c r="Q9" s="3" t="s">
        <v>3051</v>
      </c>
    </row>
  </sheetData>
  <mergeCells count="2">
    <mergeCell ref="A1:Q1"/>
    <mergeCell ref="A2:Q2"/>
  </mergeCells>
  <dataValidations count="1">
    <dataValidation type="list" allowBlank="1" showInputMessage="1" showErrorMessage="1" sqref="M7:M300" xr:uid="{94CA931B-852E-40BD-8E9D-11AD86C4D11A}">
      <formula1>$Z$1:$Z$4</formula1>
    </dataValidation>
  </dataValidations>
  <pageMargins left="0.7" right="0.7" top="0.75" bottom="0.75" header="0.3" footer="0.3"/>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CE23D-40E3-44C5-8A20-78FE17BD007F}">
  <sheetPr>
    <tabColor rgb="FF3A414F"/>
  </sheetPr>
  <dimension ref="A1:N80"/>
  <sheetViews>
    <sheetView workbookViewId="0">
      <selection sqref="A1:I1"/>
    </sheetView>
  </sheetViews>
  <sheetFormatPr defaultRowHeight="15"/>
  <sheetData>
    <row r="1" spans="1:9" ht="21">
      <c r="A1" s="74" t="s">
        <v>3052</v>
      </c>
      <c r="B1" s="74"/>
      <c r="C1" s="74"/>
      <c r="D1" s="74"/>
      <c r="E1" s="74"/>
      <c r="F1" s="74"/>
      <c r="G1" s="74"/>
      <c r="H1" s="74"/>
      <c r="I1" s="74"/>
    </row>
    <row r="2" spans="1:9">
      <c r="A2" s="207" t="s">
        <v>3053</v>
      </c>
      <c r="B2" s="207"/>
      <c r="C2" s="207"/>
      <c r="D2" s="207"/>
      <c r="E2" s="207"/>
      <c r="F2" s="207"/>
      <c r="G2" s="207"/>
      <c r="H2" s="207"/>
      <c r="I2" s="207"/>
    </row>
    <row r="3" spans="1:9">
      <c r="A3" s="28" t="s">
        <v>275</v>
      </c>
      <c r="B3" s="202" t="s">
        <v>3054</v>
      </c>
      <c r="C3" s="202"/>
      <c r="D3" s="202"/>
      <c r="E3" s="202"/>
      <c r="F3" s="202"/>
      <c r="G3" s="202"/>
      <c r="H3" s="202"/>
      <c r="I3" s="202"/>
    </row>
    <row r="4" spans="1:9" ht="15.75">
      <c r="A4" s="39" t="s">
        <v>3055</v>
      </c>
      <c r="B4" s="39"/>
      <c r="C4" s="39"/>
      <c r="D4" s="93"/>
      <c r="E4" s="92"/>
      <c r="F4" s="92"/>
      <c r="G4" s="92"/>
      <c r="H4" s="92"/>
    </row>
    <row r="5" spans="1:9">
      <c r="A5" s="22" t="s">
        <v>213</v>
      </c>
      <c r="B5" s="22" t="s">
        <v>3056</v>
      </c>
      <c r="C5" s="22" t="s">
        <v>3057</v>
      </c>
      <c r="D5" s="92"/>
      <c r="E5" s="92"/>
      <c r="F5" s="92"/>
      <c r="G5" s="92"/>
      <c r="H5" s="92"/>
    </row>
    <row r="6" spans="1:9">
      <c r="A6" s="109">
        <v>1</v>
      </c>
      <c r="B6" s="109" t="s">
        <v>3058</v>
      </c>
      <c r="C6" s="109" t="s">
        <v>3059</v>
      </c>
      <c r="D6" s="120"/>
      <c r="E6" s="120"/>
      <c r="F6" s="120"/>
      <c r="G6" s="120"/>
      <c r="H6" s="120"/>
    </row>
    <row r="7" spans="1:9">
      <c r="A7" s="109">
        <v>2</v>
      </c>
      <c r="B7" s="109" t="s">
        <v>3060</v>
      </c>
      <c r="C7" s="109" t="s">
        <v>3061</v>
      </c>
      <c r="D7" s="114"/>
      <c r="E7" s="114"/>
      <c r="F7" s="114"/>
      <c r="G7" s="114"/>
      <c r="H7" s="114"/>
    </row>
    <row r="8" spans="1:9">
      <c r="A8" s="109">
        <v>3</v>
      </c>
      <c r="B8" s="138" t="s">
        <v>3062</v>
      </c>
      <c r="C8" s="138" t="s">
        <v>3063</v>
      </c>
      <c r="D8" s="117"/>
      <c r="E8" s="118"/>
      <c r="F8" s="117"/>
      <c r="G8" s="118"/>
      <c r="H8" s="92"/>
    </row>
    <row r="9" spans="1:9">
      <c r="A9" s="109">
        <v>4</v>
      </c>
      <c r="B9" s="138" t="s">
        <v>3064</v>
      </c>
      <c r="C9" s="138" t="s">
        <v>3065</v>
      </c>
      <c r="D9" s="117"/>
      <c r="E9" s="118"/>
      <c r="F9" s="117"/>
      <c r="G9" s="118"/>
      <c r="H9" s="92"/>
    </row>
    <row r="10" spans="1:9">
      <c r="A10" s="109">
        <v>5</v>
      </c>
      <c r="B10" s="138" t="s">
        <v>3066</v>
      </c>
      <c r="C10" s="138" t="s">
        <v>3067</v>
      </c>
      <c r="D10" s="118"/>
      <c r="E10" s="118"/>
      <c r="F10" s="118"/>
      <c r="G10" s="118"/>
      <c r="H10" s="92"/>
    </row>
    <row r="11" spans="1:9">
      <c r="A11" s="109">
        <v>6</v>
      </c>
      <c r="B11" s="139" t="s">
        <v>3068</v>
      </c>
      <c r="C11" s="139" t="s">
        <v>3069</v>
      </c>
      <c r="D11" s="119"/>
      <c r="E11" s="119"/>
      <c r="F11" s="119"/>
      <c r="G11" s="119"/>
      <c r="H11" s="92"/>
    </row>
    <row r="12" spans="1:9">
      <c r="A12" s="148" t="s">
        <v>3070</v>
      </c>
      <c r="B12" s="117"/>
      <c r="C12" s="117"/>
      <c r="D12" s="117"/>
      <c r="E12" s="118"/>
      <c r="F12" s="117"/>
      <c r="G12" s="118"/>
      <c r="H12" s="92"/>
    </row>
    <row r="13" spans="1:9">
      <c r="A13" s="92" t="s">
        <v>3071</v>
      </c>
      <c r="B13" s="100" t="s">
        <v>3072</v>
      </c>
      <c r="C13" s="118" t="s">
        <v>3073</v>
      </c>
      <c r="D13" s="100" t="s">
        <v>3074</v>
      </c>
      <c r="E13" s="118"/>
      <c r="F13" s="118"/>
      <c r="G13" s="118"/>
      <c r="H13" s="92"/>
    </row>
    <row r="14" spans="1:9">
      <c r="A14" s="174" t="s">
        <v>3075</v>
      </c>
      <c r="B14" s="117"/>
      <c r="C14" s="117"/>
      <c r="D14" s="117"/>
      <c r="E14" s="118"/>
      <c r="F14" s="117"/>
      <c r="G14" s="118"/>
      <c r="H14" s="92"/>
    </row>
    <row r="15" spans="1:9" ht="15.75">
      <c r="A15" s="39" t="s">
        <v>3076</v>
      </c>
      <c r="B15" s="39"/>
      <c r="C15" s="39"/>
      <c r="D15" s="39"/>
      <c r="E15" s="39"/>
      <c r="F15" s="39"/>
      <c r="G15" s="39"/>
      <c r="H15" s="39"/>
      <c r="I15" s="39"/>
    </row>
    <row r="16" spans="1:9">
      <c r="A16" s="22" t="s">
        <v>2265</v>
      </c>
      <c r="B16" s="122" t="s">
        <v>970</v>
      </c>
      <c r="C16" s="122" t="s">
        <v>979</v>
      </c>
      <c r="D16" s="122" t="s">
        <v>994</v>
      </c>
      <c r="E16" s="123" t="s">
        <v>3077</v>
      </c>
      <c r="F16" s="29" t="s">
        <v>3078</v>
      </c>
      <c r="G16" s="112" t="s">
        <v>3079</v>
      </c>
      <c r="H16" s="22" t="s">
        <v>2357</v>
      </c>
      <c r="I16" s="22" t="s">
        <v>3080</v>
      </c>
    </row>
    <row r="17" spans="1:14">
      <c r="A17" s="109" t="s">
        <v>2308</v>
      </c>
      <c r="B17" s="100">
        <v>120</v>
      </c>
      <c r="C17" s="100">
        <v>480</v>
      </c>
      <c r="D17" s="100">
        <v>0</v>
      </c>
      <c r="E17" s="124">
        <f>B17+C17+D17</f>
        <v>600</v>
      </c>
      <c r="F17" s="100">
        <v>0</v>
      </c>
      <c r="G17" s="140">
        <f>E17+F17</f>
        <v>600</v>
      </c>
      <c r="H17" s="109" t="s">
        <v>2272</v>
      </c>
      <c r="I17" s="108" t="s">
        <v>3081</v>
      </c>
      <c r="N17" t="s">
        <v>3082</v>
      </c>
    </row>
    <row r="18" spans="1:14">
      <c r="A18" s="109" t="s">
        <v>2274</v>
      </c>
      <c r="B18" s="100">
        <v>25</v>
      </c>
      <c r="C18" s="100">
        <v>90</v>
      </c>
      <c r="D18" s="100">
        <v>0</v>
      </c>
      <c r="E18" s="124">
        <f>B18+C18+D18</f>
        <v>115</v>
      </c>
      <c r="F18" s="100">
        <v>0</v>
      </c>
      <c r="G18" s="140">
        <f>E18+F18</f>
        <v>115</v>
      </c>
      <c r="H18" s="109" t="s">
        <v>2272</v>
      </c>
      <c r="I18" s="108" t="s">
        <v>3083</v>
      </c>
      <c r="N18" s="106">
        <f>IF(B23&gt;0,B24/B23,NA())</f>
        <v>14</v>
      </c>
    </row>
    <row r="19" spans="1:14">
      <c r="A19" s="109" t="s">
        <v>2277</v>
      </c>
      <c r="B19" s="138">
        <f>B17-B18</f>
        <v>95</v>
      </c>
      <c r="C19" s="138">
        <f>C17-C18</f>
        <v>390</v>
      </c>
      <c r="D19" s="138">
        <f>D17-D18</f>
        <v>0</v>
      </c>
      <c r="E19" s="124">
        <f>E17-E18</f>
        <v>485</v>
      </c>
      <c r="F19" s="138">
        <f>F17-F18</f>
        <v>0</v>
      </c>
      <c r="G19" s="140">
        <f>G17-G18</f>
        <v>485</v>
      </c>
      <c r="H19" s="109" t="s">
        <v>3084</v>
      </c>
      <c r="I19" s="108" t="s">
        <v>3085</v>
      </c>
      <c r="N19" s="106">
        <f>IF(C23&gt;0,C24/C23,NA())</f>
        <v>18</v>
      </c>
    </row>
    <row r="20" spans="1:14">
      <c r="A20" s="109" t="s">
        <v>2280</v>
      </c>
      <c r="B20" s="139">
        <f>IFERROR(B19/B17,0)</f>
        <v>0.79166666666666663</v>
      </c>
      <c r="C20" s="139">
        <f>IFERROR(C19/C17,0)</f>
        <v>0.8125</v>
      </c>
      <c r="D20" s="139">
        <f>IFERROR(D19/D17,0)</f>
        <v>0</v>
      </c>
      <c r="E20" s="142">
        <f>IFERROR(E19/E17,0)</f>
        <v>0.80833333333333335</v>
      </c>
      <c r="F20" s="139">
        <f>IFERROR(F19/F17,0)</f>
        <v>0</v>
      </c>
      <c r="G20" s="141">
        <f>IFERROR(G19/G17,0)</f>
        <v>0.80833333333333335</v>
      </c>
      <c r="H20" s="109" t="s">
        <v>2366</v>
      </c>
      <c r="I20" s="108" t="s">
        <v>3086</v>
      </c>
      <c r="N20" s="106" t="e">
        <f>IF(D23&gt;0,D24/D23,NA())</f>
        <v>#N/A</v>
      </c>
    </row>
    <row r="21" spans="1:14">
      <c r="A21" s="109" t="s">
        <v>2283</v>
      </c>
      <c r="B21" s="100">
        <v>80</v>
      </c>
      <c r="C21" s="100">
        <v>250</v>
      </c>
      <c r="D21" s="100">
        <v>0</v>
      </c>
      <c r="E21" s="124">
        <f>B21+C21+D21</f>
        <v>330</v>
      </c>
      <c r="F21" s="100">
        <v>120</v>
      </c>
      <c r="G21" s="140">
        <f>E21+F21</f>
        <v>450</v>
      </c>
      <c r="H21" s="109" t="s">
        <v>2272</v>
      </c>
      <c r="I21" s="108" t="s">
        <v>3087</v>
      </c>
    </row>
    <row r="22" spans="1:14">
      <c r="A22" s="109" t="s">
        <v>2286</v>
      </c>
      <c r="B22" s="138">
        <f>B19-B21</f>
        <v>15</v>
      </c>
      <c r="C22" s="138">
        <f>C19-C21</f>
        <v>140</v>
      </c>
      <c r="D22" s="138">
        <f>D19-D21</f>
        <v>0</v>
      </c>
      <c r="E22" s="124">
        <f>E19-E21</f>
        <v>155</v>
      </c>
      <c r="F22" s="138">
        <f>F19-F21</f>
        <v>-120</v>
      </c>
      <c r="G22" s="140">
        <f>G19-G21</f>
        <v>35</v>
      </c>
      <c r="H22" s="109" t="s">
        <v>2279</v>
      </c>
      <c r="I22" s="108"/>
    </row>
    <row r="23" spans="1:14">
      <c r="A23" s="109" t="s">
        <v>2288</v>
      </c>
      <c r="B23" s="100">
        <v>45</v>
      </c>
      <c r="C23" s="100">
        <v>30</v>
      </c>
      <c r="D23" s="100">
        <v>0</v>
      </c>
      <c r="E23" s="124">
        <f>B23+C23+D23</f>
        <v>75</v>
      </c>
      <c r="F23" s="100">
        <v>0</v>
      </c>
      <c r="G23" s="140">
        <f>E23+F23</f>
        <v>75</v>
      </c>
      <c r="H23" s="109" t="s">
        <v>2272</v>
      </c>
      <c r="I23" s="108" t="s">
        <v>3088</v>
      </c>
    </row>
    <row r="24" spans="1:14">
      <c r="A24" s="109" t="s">
        <v>2291</v>
      </c>
      <c r="B24" s="100">
        <v>630</v>
      </c>
      <c r="C24" s="100">
        <v>540</v>
      </c>
      <c r="D24" s="100">
        <v>0</v>
      </c>
      <c r="E24" s="124">
        <f>B24+C24+D24</f>
        <v>1170</v>
      </c>
      <c r="F24" s="100">
        <v>800</v>
      </c>
      <c r="G24" s="140">
        <f>E24+F24</f>
        <v>1970</v>
      </c>
      <c r="H24" s="109" t="s">
        <v>2272</v>
      </c>
      <c r="I24" s="108" t="s">
        <v>3089</v>
      </c>
    </row>
    <row r="25" spans="1:14">
      <c r="A25" s="109" t="s">
        <v>2330</v>
      </c>
      <c r="B25" s="109">
        <f>IF(B23&lt;=0,"n/a",IFERROR(ROUND(B24/B23,1),""))</f>
        <v>14</v>
      </c>
      <c r="C25" s="109">
        <f>IF(C23&lt;=0,"n/a",IFERROR(ROUND(C24/C23,1),""))</f>
        <v>18</v>
      </c>
      <c r="D25" s="109" t="str">
        <f>IF(D23&lt;=0,"n/a",IFERROR(ROUND(D24/D23,1),""))</f>
        <v>n/a</v>
      </c>
      <c r="E25" s="143">
        <f>IF(COUNT(B25:D25)=0,"n/a",ROUND(MIN(B25:D25),1))</f>
        <v>14</v>
      </c>
      <c r="F25" s="109" t="s">
        <v>193</v>
      </c>
      <c r="G25" s="94" t="s">
        <v>193</v>
      </c>
      <c r="H25" s="109" t="s">
        <v>2371</v>
      </c>
      <c r="I25" s="108" t="s">
        <v>3090</v>
      </c>
    </row>
    <row r="26" spans="1:14">
      <c r="A26" s="109" t="s">
        <v>3091</v>
      </c>
      <c r="B26" s="109" t="str">
        <f>IF(AND(ISNUMBER(B25),B25&lt;12),"FLAG","ok")</f>
        <v>ok</v>
      </c>
      <c r="C26" s="109" t="str">
        <f>IF(AND(ISNUMBER(C25),C25&lt;12),"FLAG","ok")</f>
        <v>ok</v>
      </c>
      <c r="D26" s="109" t="str">
        <f>IF(AND(ISNUMBER(D25),D25&lt;12),"FLAG","ok")</f>
        <v>ok</v>
      </c>
      <c r="E26" s="143" t="str">
        <f>IF(OR(B26="FLAG",C26="FLAG",D26="FLAG"),"REVIEW","ok")</f>
        <v>ok</v>
      </c>
      <c r="F26" s="109"/>
      <c r="G26" s="94"/>
      <c r="H26" s="109" t="s">
        <v>2371</v>
      </c>
      <c r="I26" s="108" t="s">
        <v>3092</v>
      </c>
    </row>
    <row r="27" spans="1:14">
      <c r="A27" s="92"/>
      <c r="B27" s="92"/>
      <c r="C27" s="92"/>
      <c r="D27" s="92"/>
      <c r="E27" s="92"/>
      <c r="F27" s="92"/>
      <c r="G27" s="92"/>
      <c r="H27" s="92"/>
    </row>
    <row r="28" spans="1:14" ht="15.75">
      <c r="A28" s="203" t="s">
        <v>3093</v>
      </c>
      <c r="B28" s="203"/>
      <c r="C28" s="203"/>
      <c r="D28" s="203"/>
      <c r="E28" s="92"/>
      <c r="F28" s="92"/>
      <c r="G28" s="92"/>
      <c r="H28" s="92"/>
    </row>
    <row r="29" spans="1:14">
      <c r="A29" s="22" t="s">
        <v>2357</v>
      </c>
      <c r="B29" s="22" t="s">
        <v>3094</v>
      </c>
      <c r="C29" s="22" t="s">
        <v>3095</v>
      </c>
      <c r="D29" s="22" t="s">
        <v>3096</v>
      </c>
      <c r="E29" s="120"/>
      <c r="F29" s="120"/>
      <c r="G29" s="120"/>
      <c r="H29" s="120"/>
    </row>
    <row r="30" spans="1:14">
      <c r="A30" s="109" t="s">
        <v>2272</v>
      </c>
      <c r="B30" s="109" t="s">
        <v>3097</v>
      </c>
      <c r="C30" s="109" t="s">
        <v>3098</v>
      </c>
      <c r="D30" s="109" t="s">
        <v>3099</v>
      </c>
      <c r="E30" s="92"/>
      <c r="F30" s="92"/>
      <c r="G30" s="92"/>
      <c r="H30" s="92"/>
    </row>
    <row r="31" spans="1:14">
      <c r="A31" s="109" t="s">
        <v>2366</v>
      </c>
      <c r="B31" s="109" t="s">
        <v>3100</v>
      </c>
      <c r="C31" s="109" t="s">
        <v>3101</v>
      </c>
      <c r="D31" s="109" t="s">
        <v>3102</v>
      </c>
      <c r="E31" s="92"/>
      <c r="F31" s="92"/>
      <c r="G31" s="92"/>
      <c r="H31" s="92"/>
    </row>
    <row r="32" spans="1:14">
      <c r="A32" s="234" t="s">
        <v>2371</v>
      </c>
      <c r="B32" s="234"/>
      <c r="C32" s="234"/>
      <c r="D32" s="234"/>
      <c r="E32" s="235"/>
      <c r="F32" s="235"/>
      <c r="G32" s="120"/>
      <c r="H32" s="92"/>
    </row>
    <row r="33" spans="1:8">
      <c r="A33" s="109" t="s">
        <v>2376</v>
      </c>
      <c r="B33" s="109" t="s">
        <v>2225</v>
      </c>
      <c r="C33" s="109" t="s">
        <v>3103</v>
      </c>
      <c r="D33" s="109" t="s">
        <v>3104</v>
      </c>
      <c r="E33" s="92"/>
      <c r="F33" s="92"/>
      <c r="G33" s="92"/>
      <c r="H33" s="92"/>
    </row>
    <row r="34" spans="1:8">
      <c r="A34" s="109" t="s">
        <v>3105</v>
      </c>
      <c r="B34" s="109" t="s">
        <v>3106</v>
      </c>
      <c r="C34" s="109" t="s">
        <v>3107</v>
      </c>
      <c r="D34" s="109" t="s">
        <v>3108</v>
      </c>
      <c r="E34" s="92"/>
      <c r="F34" s="92"/>
      <c r="G34" s="92"/>
      <c r="H34" s="92"/>
    </row>
    <row r="35" spans="1:8">
      <c r="A35" s="109" t="s">
        <v>2257</v>
      </c>
      <c r="B35" s="109" t="s">
        <v>3109</v>
      </c>
      <c r="C35" s="109" t="s">
        <v>3110</v>
      </c>
      <c r="D35" s="109" t="s">
        <v>3111</v>
      </c>
      <c r="E35" s="92"/>
      <c r="F35" s="92"/>
      <c r="G35" s="92"/>
      <c r="H35" s="92"/>
    </row>
    <row r="36" spans="1:8">
      <c r="A36" s="235"/>
      <c r="B36" s="235"/>
      <c r="C36" s="92"/>
      <c r="D36" s="92"/>
      <c r="E36" s="92"/>
      <c r="F36" s="92"/>
      <c r="G36" s="92"/>
      <c r="H36" s="92"/>
    </row>
    <row r="37" spans="1:8" ht="15.75">
      <c r="A37" s="203" t="s">
        <v>3112</v>
      </c>
      <c r="B37" s="203"/>
      <c r="C37" s="203"/>
      <c r="D37" s="92"/>
      <c r="E37" s="92"/>
      <c r="F37" s="92"/>
      <c r="G37" s="92"/>
      <c r="H37" s="92"/>
    </row>
    <row r="38" spans="1:8">
      <c r="A38" s="22" t="s">
        <v>279</v>
      </c>
      <c r="B38" s="125" t="s">
        <v>293</v>
      </c>
      <c r="C38" s="22" t="s">
        <v>3113</v>
      </c>
      <c r="D38" s="92"/>
      <c r="E38" s="92"/>
      <c r="F38" s="92"/>
      <c r="G38" s="92"/>
      <c r="H38" s="92"/>
    </row>
    <row r="39" spans="1:8">
      <c r="A39" s="109" t="s">
        <v>338</v>
      </c>
      <c r="B39" s="144">
        <f>IFERROR(COUNTIF(TablePortfolio[Health],"On Track"),0)</f>
        <v>3</v>
      </c>
      <c r="C39" s="109" t="s">
        <v>3114</v>
      </c>
      <c r="D39" s="92"/>
      <c r="E39" s="92"/>
      <c r="F39" s="92"/>
      <c r="G39" s="92"/>
      <c r="H39" s="92"/>
    </row>
    <row r="40" spans="1:8">
      <c r="A40" s="109" t="s">
        <v>340</v>
      </c>
      <c r="B40" s="144">
        <f>IFERROR(COUNTIF(TablePortfolio[Health],"Watch"),0)</f>
        <v>0</v>
      </c>
      <c r="C40" s="109" t="s">
        <v>3115</v>
      </c>
      <c r="D40" s="92"/>
      <c r="E40" s="92"/>
      <c r="F40" s="92"/>
      <c r="G40" s="92"/>
      <c r="H40" s="92"/>
    </row>
    <row r="41" spans="1:8">
      <c r="A41" s="109" t="s">
        <v>342</v>
      </c>
      <c r="B41" s="144">
        <f>IFERROR(COUNTIF(TablePortfolio[Health],"At Risk"),0)</f>
        <v>0</v>
      </c>
      <c r="C41" s="109" t="s">
        <v>3116</v>
      </c>
      <c r="D41" s="92"/>
      <c r="E41" s="92"/>
      <c r="F41" s="92"/>
      <c r="G41" s="92"/>
      <c r="H41" s="92"/>
    </row>
    <row r="42" spans="1:8">
      <c r="A42" s="109" t="s">
        <v>344</v>
      </c>
      <c r="B42" s="144">
        <f>IFERROR(COUNTIF(TablePortfolio[Health],"Critical"),0)</f>
        <v>0</v>
      </c>
      <c r="C42" s="109" t="s">
        <v>3117</v>
      </c>
      <c r="D42" s="92"/>
      <c r="E42" s="92"/>
      <c r="F42" s="92"/>
      <c r="G42" s="92"/>
      <c r="H42" s="92"/>
    </row>
    <row r="43" spans="1:8">
      <c r="A43" s="109" t="s">
        <v>3118</v>
      </c>
      <c r="B43" s="144">
        <f>IFERROR(COUNTA(TablePortfolio[PF ID]),0)</f>
        <v>3</v>
      </c>
      <c r="C43" s="109" t="s">
        <v>3119</v>
      </c>
      <c r="D43" s="121"/>
      <c r="E43" s="121"/>
      <c r="F43" s="121"/>
      <c r="G43" s="121"/>
      <c r="H43" s="121"/>
    </row>
    <row r="44" spans="1:8">
      <c r="A44" s="92"/>
      <c r="B44" s="92"/>
      <c r="C44" s="92"/>
      <c r="D44" s="92"/>
      <c r="E44" s="92"/>
      <c r="F44" s="92"/>
      <c r="G44" s="92"/>
      <c r="H44" s="92"/>
    </row>
    <row r="45" spans="1:8" ht="15.75">
      <c r="A45" s="203" t="s">
        <v>3120</v>
      </c>
      <c r="B45" s="203"/>
      <c r="C45" s="203"/>
      <c r="D45" s="92"/>
      <c r="E45" s="92"/>
      <c r="F45" s="92"/>
      <c r="G45" s="92"/>
      <c r="H45" s="92"/>
    </row>
    <row r="46" spans="1:8">
      <c r="A46" s="236" t="s">
        <v>3121</v>
      </c>
      <c r="B46" s="236"/>
      <c r="C46" s="22" t="s">
        <v>3122</v>
      </c>
      <c r="D46" s="92"/>
      <c r="E46" s="92"/>
      <c r="F46" s="92"/>
      <c r="G46" s="92"/>
      <c r="H46" s="92"/>
    </row>
    <row r="47" spans="1:8">
      <c r="A47" s="109" t="s">
        <v>3123</v>
      </c>
      <c r="B47" s="138" t="s">
        <v>3124</v>
      </c>
      <c r="C47" s="109" t="s">
        <v>3125</v>
      </c>
      <c r="D47" s="92"/>
      <c r="E47" s="92"/>
      <c r="F47" s="92"/>
      <c r="G47" s="92"/>
      <c r="H47" s="92"/>
    </row>
    <row r="48" spans="1:8">
      <c r="A48" s="109" t="s">
        <v>3126</v>
      </c>
      <c r="B48" s="139" t="s">
        <v>3127</v>
      </c>
      <c r="C48" s="109" t="s">
        <v>3128</v>
      </c>
      <c r="D48" s="92"/>
      <c r="E48" s="92"/>
      <c r="F48" s="92"/>
      <c r="G48" s="92"/>
      <c r="H48" s="92"/>
    </row>
    <row r="49" spans="1:8">
      <c r="A49" s="109" t="s">
        <v>3129</v>
      </c>
      <c r="B49" s="138" t="s">
        <v>3130</v>
      </c>
      <c r="C49" s="109" t="s">
        <v>3131</v>
      </c>
      <c r="D49" s="92"/>
      <c r="E49" s="92"/>
      <c r="F49" s="92"/>
      <c r="G49" s="92"/>
      <c r="H49" s="92"/>
    </row>
    <row r="50" spans="1:8">
      <c r="A50" s="109" t="s">
        <v>3132</v>
      </c>
      <c r="B50" s="138" t="s">
        <v>3133</v>
      </c>
      <c r="C50" s="109" t="s">
        <v>3134</v>
      </c>
      <c r="D50" s="92"/>
      <c r="E50" s="92"/>
      <c r="F50" s="92"/>
      <c r="G50" s="92"/>
      <c r="H50" s="92"/>
    </row>
    <row r="51" spans="1:8">
      <c r="A51" s="126" t="s">
        <v>3135</v>
      </c>
      <c r="B51" s="118" t="s">
        <v>3136</v>
      </c>
      <c r="C51" s="92"/>
      <c r="D51" s="92"/>
      <c r="E51" s="92"/>
      <c r="F51" s="92"/>
      <c r="G51" s="92"/>
      <c r="H51" s="92"/>
    </row>
    <row r="52" spans="1:8">
      <c r="A52" s="126" t="s">
        <v>3137</v>
      </c>
      <c r="B52" s="138"/>
      <c r="C52" s="92"/>
      <c r="D52" s="92"/>
      <c r="E52" s="92"/>
      <c r="F52" s="92"/>
      <c r="G52" s="92"/>
      <c r="H52" s="92"/>
    </row>
    <row r="53" spans="1:8">
      <c r="A53" s="109" t="s">
        <v>3138</v>
      </c>
      <c r="B53" s="138">
        <f>E17</f>
        <v>600</v>
      </c>
      <c r="C53" s="92"/>
      <c r="D53" s="92"/>
      <c r="E53" s="92"/>
      <c r="F53" s="92"/>
      <c r="G53" s="92"/>
      <c r="H53" s="92"/>
    </row>
    <row r="54" spans="1:8">
      <c r="A54" s="146" t="s">
        <v>3139</v>
      </c>
      <c r="B54" s="147">
        <f>E20</f>
        <v>0.80833333333333335</v>
      </c>
      <c r="C54" s="127"/>
      <c r="D54" s="127"/>
      <c r="E54" s="127"/>
      <c r="F54" s="127"/>
      <c r="G54" s="127"/>
      <c r="H54" s="92"/>
    </row>
    <row r="55" spans="1:8">
      <c r="A55" s="109" t="s">
        <v>3140</v>
      </c>
      <c r="B55" s="138">
        <f>E23</f>
        <v>75</v>
      </c>
      <c r="C55" s="92"/>
      <c r="D55" s="92"/>
      <c r="E55" s="92"/>
      <c r="F55" s="92"/>
      <c r="G55" s="92"/>
      <c r="H55" s="92"/>
    </row>
    <row r="56" spans="1:8">
      <c r="A56" s="109" t="s">
        <v>3141</v>
      </c>
      <c r="B56" s="138">
        <f>E24</f>
        <v>1170</v>
      </c>
      <c r="C56" s="92"/>
      <c r="D56" s="92"/>
      <c r="E56" s="92"/>
      <c r="F56" s="92"/>
      <c r="G56" s="92"/>
      <c r="H56" s="92"/>
    </row>
    <row r="57" spans="1:8">
      <c r="A57" s="109" t="s">
        <v>3142</v>
      </c>
      <c r="B57" s="138">
        <f>F24</f>
        <v>800</v>
      </c>
      <c r="C57" s="92"/>
      <c r="D57" s="92"/>
      <c r="E57" s="92"/>
      <c r="F57" s="92"/>
      <c r="G57" s="92"/>
      <c r="H57" s="92"/>
    </row>
    <row r="58" spans="1:8">
      <c r="A58" s="109" t="s">
        <v>3143</v>
      </c>
      <c r="B58" s="138">
        <f>G24</f>
        <v>1970</v>
      </c>
      <c r="C58" s="92"/>
      <c r="D58" s="92"/>
      <c r="E58" s="92"/>
      <c r="F58" s="92"/>
      <c r="G58" s="92"/>
      <c r="H58" s="92"/>
    </row>
    <row r="59" spans="1:8">
      <c r="A59" s="109" t="s">
        <v>3144</v>
      </c>
      <c r="B59" s="109">
        <f>E25</f>
        <v>14</v>
      </c>
      <c r="C59" s="92"/>
      <c r="D59" s="92"/>
      <c r="E59" s="92"/>
      <c r="F59" s="92"/>
      <c r="G59" s="92"/>
      <c r="H59" s="92"/>
    </row>
    <row r="60" spans="1:8">
      <c r="A60" s="109" t="s">
        <v>3145</v>
      </c>
      <c r="B60" s="109" t="str">
        <f>E26</f>
        <v>ok</v>
      </c>
      <c r="C60" s="92"/>
      <c r="D60" s="92"/>
      <c r="E60" s="92"/>
      <c r="F60" s="92"/>
      <c r="G60" s="92"/>
      <c r="H60" s="92"/>
    </row>
    <row r="61" spans="1:8">
      <c r="A61" s="146" t="s">
        <v>3146</v>
      </c>
      <c r="B61" s="92"/>
      <c r="C61" s="92"/>
      <c r="D61" s="92"/>
      <c r="E61" s="92"/>
      <c r="F61" s="92"/>
      <c r="G61" s="92"/>
      <c r="H61" s="92"/>
    </row>
    <row r="62" spans="1:8" ht="15.75">
      <c r="A62" s="203" t="s">
        <v>3147</v>
      </c>
      <c r="B62" s="203"/>
      <c r="C62" s="92"/>
      <c r="D62" s="92"/>
      <c r="E62" s="92"/>
      <c r="F62" s="92"/>
      <c r="G62" s="92"/>
      <c r="H62" s="92"/>
    </row>
    <row r="63" spans="1:8">
      <c r="A63" s="22" t="s">
        <v>3148</v>
      </c>
      <c r="B63" s="22" t="s">
        <v>3149</v>
      </c>
      <c r="C63" s="92"/>
      <c r="D63" s="92"/>
      <c r="E63" s="92"/>
      <c r="F63" s="92"/>
      <c r="G63" s="92"/>
      <c r="H63" s="92"/>
    </row>
    <row r="64" spans="1:8">
      <c r="A64" s="92" t="s">
        <v>284</v>
      </c>
      <c r="B64" s="92" t="s">
        <v>3150</v>
      </c>
      <c r="C64" s="92"/>
      <c r="D64" s="92"/>
      <c r="E64" s="92"/>
      <c r="F64" s="92"/>
      <c r="G64" s="92"/>
      <c r="H64" s="92"/>
    </row>
    <row r="65" spans="1:8">
      <c r="A65" s="92" t="s">
        <v>2771</v>
      </c>
      <c r="B65" s="92" t="s">
        <v>3151</v>
      </c>
      <c r="C65" s="92"/>
      <c r="D65" s="92"/>
      <c r="E65" s="92"/>
      <c r="F65" s="92"/>
      <c r="G65" s="92"/>
      <c r="H65" s="92"/>
    </row>
    <row r="66" spans="1:8">
      <c r="A66" s="92" t="s">
        <v>286</v>
      </c>
      <c r="B66" s="92" t="s">
        <v>3152</v>
      </c>
      <c r="C66" s="92"/>
      <c r="D66" s="92"/>
      <c r="E66" s="92"/>
      <c r="F66" s="92"/>
      <c r="G66" s="92"/>
      <c r="H66" s="92"/>
    </row>
    <row r="67" spans="1:8">
      <c r="A67" s="92" t="s">
        <v>2777</v>
      </c>
      <c r="B67" s="92" t="s">
        <v>3153</v>
      </c>
      <c r="C67" s="92"/>
      <c r="D67" s="92"/>
      <c r="E67" s="92"/>
      <c r="F67" s="92"/>
      <c r="G67" s="92"/>
      <c r="H67" s="92"/>
    </row>
    <row r="68" spans="1:8">
      <c r="A68" s="92" t="s">
        <v>287</v>
      </c>
      <c r="B68" s="92" t="s">
        <v>3154</v>
      </c>
      <c r="C68" s="92"/>
      <c r="D68" s="92"/>
      <c r="E68" s="92"/>
      <c r="F68" s="92"/>
      <c r="G68" s="92"/>
      <c r="H68" s="92"/>
    </row>
    <row r="69" spans="1:8">
      <c r="A69" s="92" t="s">
        <v>3155</v>
      </c>
      <c r="B69" s="92" t="s">
        <v>3156</v>
      </c>
      <c r="C69" s="92"/>
      <c r="D69" s="92"/>
      <c r="E69" s="92"/>
      <c r="F69" s="92"/>
      <c r="G69" s="92"/>
      <c r="H69" s="92"/>
    </row>
    <row r="70" spans="1:8">
      <c r="A70" s="92"/>
      <c r="B70" s="92"/>
      <c r="C70" s="92"/>
      <c r="D70" s="92"/>
      <c r="E70" s="92"/>
      <c r="F70" s="92"/>
      <c r="G70" s="92"/>
      <c r="H70" s="92"/>
    </row>
    <row r="71" spans="1:8" ht="15.75">
      <c r="A71" s="203" t="s">
        <v>3157</v>
      </c>
      <c r="B71" s="203"/>
      <c r="C71" s="92"/>
      <c r="D71" s="92"/>
      <c r="E71" s="92"/>
      <c r="F71" s="92"/>
      <c r="G71" s="92"/>
      <c r="H71" s="92"/>
    </row>
    <row r="72" spans="1:8">
      <c r="A72" s="92" t="s">
        <v>3158</v>
      </c>
      <c r="B72" s="92"/>
      <c r="C72" s="92"/>
      <c r="D72" s="92"/>
      <c r="E72" s="92"/>
      <c r="F72" s="92"/>
      <c r="G72" s="92"/>
      <c r="H72" s="92"/>
    </row>
    <row r="73" spans="1:8">
      <c r="A73" s="92" t="s">
        <v>3159</v>
      </c>
      <c r="B73" s="92"/>
      <c r="C73" s="92"/>
      <c r="D73" s="92"/>
      <c r="E73" s="92"/>
      <c r="F73" s="92"/>
      <c r="G73" s="92"/>
      <c r="H73" s="92"/>
    </row>
    <row r="74" spans="1:8">
      <c r="A74" s="92" t="s">
        <v>3160</v>
      </c>
      <c r="B74" s="92"/>
      <c r="C74" s="92"/>
      <c r="D74" s="92"/>
      <c r="E74" s="92"/>
      <c r="F74" s="92"/>
      <c r="G74" s="92"/>
      <c r="H74" s="92"/>
    </row>
    <row r="75" spans="1:8">
      <c r="A75" s="92"/>
      <c r="B75" s="92"/>
      <c r="C75" s="92"/>
      <c r="D75" s="92"/>
      <c r="E75" s="92"/>
      <c r="F75" s="92"/>
      <c r="G75" s="92"/>
      <c r="H75" s="92"/>
    </row>
    <row r="76" spans="1:8">
      <c r="A76" s="229" t="s">
        <v>3161</v>
      </c>
      <c r="B76" s="229"/>
      <c r="C76" s="229"/>
      <c r="D76" s="229"/>
      <c r="E76" s="92"/>
      <c r="F76" s="92"/>
      <c r="G76" s="92"/>
      <c r="H76" s="92"/>
    </row>
    <row r="77" spans="1:8">
      <c r="A77" s="92"/>
      <c r="B77" s="92"/>
      <c r="C77" s="92"/>
      <c r="D77" s="92"/>
      <c r="E77" s="92"/>
      <c r="F77" s="92"/>
      <c r="G77" s="92"/>
      <c r="H77" s="92"/>
    </row>
    <row r="78" spans="1:8">
      <c r="A78" s="92"/>
      <c r="B78" s="92"/>
      <c r="C78" s="92"/>
      <c r="D78" s="92"/>
      <c r="E78" s="92"/>
      <c r="F78" s="92"/>
      <c r="G78" s="92"/>
      <c r="H78" s="92"/>
    </row>
    <row r="79" spans="1:8">
      <c r="A79" s="92"/>
      <c r="B79" s="92"/>
      <c r="C79" s="92"/>
      <c r="D79" s="92"/>
      <c r="E79" s="92"/>
      <c r="F79" s="92"/>
      <c r="G79" s="92"/>
      <c r="H79" s="92"/>
    </row>
    <row r="80" spans="1:8">
      <c r="A80" s="92"/>
      <c r="B80" s="92"/>
      <c r="C80" s="92"/>
      <c r="D80" s="92"/>
      <c r="E80" s="92"/>
      <c r="F80" s="92"/>
      <c r="G80" s="92"/>
      <c r="H80" s="92"/>
    </row>
  </sheetData>
  <mergeCells count="12">
    <mergeCell ref="A45:C45"/>
    <mergeCell ref="A62:B62"/>
    <mergeCell ref="A71:B71"/>
    <mergeCell ref="A76:D76"/>
    <mergeCell ref="B3:I3"/>
    <mergeCell ref="A46:B46"/>
    <mergeCell ref="A32:F32"/>
    <mergeCell ref="A28:D28"/>
    <mergeCell ref="A37:C37"/>
    <mergeCell ref="A36:B36"/>
    <mergeCell ref="A1:I1"/>
    <mergeCell ref="A2:I2"/>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540B8-C42F-4FB2-B57C-7EC736B73057}">
  <sheetPr>
    <tabColor rgb="FF6C7470"/>
  </sheetPr>
  <dimension ref="A1:E160"/>
  <sheetViews>
    <sheetView workbookViewId="0">
      <selection sqref="A1:E1"/>
    </sheetView>
  </sheetViews>
  <sheetFormatPr defaultRowHeight="15"/>
  <sheetData>
    <row r="1" spans="1:5" ht="23.25" customHeight="1">
      <c r="A1" s="82" t="s">
        <v>3162</v>
      </c>
      <c r="B1" s="82"/>
      <c r="C1" s="82"/>
      <c r="D1" s="82"/>
      <c r="E1" s="82"/>
    </row>
    <row r="2" spans="1:5">
      <c r="A2" s="132" t="s">
        <v>3163</v>
      </c>
      <c r="B2" s="97"/>
      <c r="C2" s="97"/>
      <c r="D2" s="97"/>
      <c r="E2" s="97"/>
    </row>
    <row r="4" spans="1:5" ht="15.75">
      <c r="A4" s="206" t="s">
        <v>3164</v>
      </c>
      <c r="B4" s="206"/>
      <c r="C4" s="206"/>
      <c r="D4" s="206"/>
      <c r="E4" s="206"/>
    </row>
    <row r="5" spans="1:5">
      <c r="A5" t="s">
        <v>3165</v>
      </c>
    </row>
    <row r="6" spans="1:5">
      <c r="A6" t="s">
        <v>3166</v>
      </c>
    </row>
    <row r="7" spans="1:5">
      <c r="A7" t="s">
        <v>3167</v>
      </c>
    </row>
    <row r="9" spans="1:5" ht="15.75">
      <c r="A9" s="206" t="s">
        <v>3168</v>
      </c>
      <c r="B9" s="206"/>
      <c r="C9" s="206"/>
      <c r="D9" s="206"/>
      <c r="E9" s="206"/>
    </row>
    <row r="10" spans="1:5">
      <c r="A10" s="22" t="s">
        <v>3169</v>
      </c>
      <c r="B10" s="22" t="s">
        <v>3170</v>
      </c>
      <c r="C10" s="22" t="s">
        <v>28</v>
      </c>
      <c r="D10" s="22" t="s">
        <v>3171</v>
      </c>
      <c r="E10" s="22" t="s">
        <v>3172</v>
      </c>
    </row>
    <row r="11" spans="1:5">
      <c r="A11" t="s">
        <v>3173</v>
      </c>
      <c r="B11" t="s">
        <v>325</v>
      </c>
      <c r="C11" t="s">
        <v>2585</v>
      </c>
      <c r="D11" t="s">
        <v>1067</v>
      </c>
      <c r="E11" t="s">
        <v>3174</v>
      </c>
    </row>
    <row r="12" spans="1:5">
      <c r="A12" t="s">
        <v>3175</v>
      </c>
      <c r="B12" t="s">
        <v>325</v>
      </c>
      <c r="C12" t="s">
        <v>3176</v>
      </c>
      <c r="D12" t="s">
        <v>1067</v>
      </c>
      <c r="E12" t="s">
        <v>3177</v>
      </c>
    </row>
    <row r="13" spans="1:5">
      <c r="A13" t="s">
        <v>3178</v>
      </c>
      <c r="B13" t="s">
        <v>325</v>
      </c>
      <c r="C13" t="s">
        <v>2273</v>
      </c>
      <c r="D13" t="s">
        <v>1067</v>
      </c>
      <c r="E13" t="s">
        <v>3179</v>
      </c>
    </row>
    <row r="14" spans="1:5">
      <c r="A14" t="s">
        <v>3180</v>
      </c>
      <c r="B14" t="s">
        <v>325</v>
      </c>
      <c r="C14" t="s">
        <v>2585</v>
      </c>
      <c r="D14" t="s">
        <v>1075</v>
      </c>
      <c r="E14" t="s">
        <v>3181</v>
      </c>
    </row>
    <row r="15" spans="1:5">
      <c r="A15" t="s">
        <v>3182</v>
      </c>
      <c r="B15" t="s">
        <v>3183</v>
      </c>
      <c r="C15" t="s">
        <v>601</v>
      </c>
      <c r="D15" t="s">
        <v>1067</v>
      </c>
      <c r="E15" t="s">
        <v>3184</v>
      </c>
    </row>
    <row r="16" spans="1:5">
      <c r="A16" t="s">
        <v>3185</v>
      </c>
      <c r="B16" t="s">
        <v>2932</v>
      </c>
      <c r="C16" t="s">
        <v>2585</v>
      </c>
      <c r="D16" t="s">
        <v>1067</v>
      </c>
      <c r="E16" t="s">
        <v>3186</v>
      </c>
    </row>
    <row r="17" spans="1:5">
      <c r="A17" t="s">
        <v>3187</v>
      </c>
      <c r="B17" t="s">
        <v>2932</v>
      </c>
      <c r="C17" t="s">
        <v>601</v>
      </c>
      <c r="D17" t="s">
        <v>1075</v>
      </c>
      <c r="E17" t="s">
        <v>3188</v>
      </c>
    </row>
    <row r="18" spans="1:5">
      <c r="A18" t="s">
        <v>3189</v>
      </c>
      <c r="B18" t="s">
        <v>2932</v>
      </c>
      <c r="C18" t="s">
        <v>2273</v>
      </c>
      <c r="D18" t="s">
        <v>1067</v>
      </c>
      <c r="E18" t="s">
        <v>3190</v>
      </c>
    </row>
    <row r="19" spans="1:5">
      <c r="A19" t="s">
        <v>3191</v>
      </c>
      <c r="B19" t="s">
        <v>2932</v>
      </c>
      <c r="C19" t="s">
        <v>2585</v>
      </c>
      <c r="D19" t="s">
        <v>1075</v>
      </c>
      <c r="E19" t="s">
        <v>3192</v>
      </c>
    </row>
    <row r="20" spans="1:5">
      <c r="A20" t="s">
        <v>3193</v>
      </c>
      <c r="B20" t="s">
        <v>3194</v>
      </c>
      <c r="C20" t="s">
        <v>601</v>
      </c>
      <c r="D20" t="s">
        <v>1067</v>
      </c>
      <c r="E20" t="s">
        <v>3195</v>
      </c>
    </row>
    <row r="21" spans="1:5">
      <c r="A21" t="s">
        <v>3196</v>
      </c>
      <c r="B21" t="s">
        <v>2932</v>
      </c>
      <c r="C21" t="s">
        <v>3197</v>
      </c>
      <c r="D21" t="s">
        <v>1075</v>
      </c>
      <c r="E21" t="s">
        <v>3198</v>
      </c>
    </row>
    <row r="22" spans="1:5">
      <c r="A22" t="s">
        <v>3199</v>
      </c>
      <c r="B22" t="s">
        <v>2822</v>
      </c>
      <c r="C22" t="s">
        <v>601</v>
      </c>
      <c r="D22" t="s">
        <v>1067</v>
      </c>
      <c r="E22" t="s">
        <v>3200</v>
      </c>
    </row>
    <row r="23" spans="1:5">
      <c r="A23" t="s">
        <v>3201</v>
      </c>
      <c r="B23" t="s">
        <v>2822</v>
      </c>
      <c r="C23" t="s">
        <v>3202</v>
      </c>
      <c r="D23" t="s">
        <v>1075</v>
      </c>
      <c r="E23" t="s">
        <v>3203</v>
      </c>
    </row>
    <row r="24" spans="1:5">
      <c r="A24" t="s">
        <v>3204</v>
      </c>
      <c r="B24" t="s">
        <v>3205</v>
      </c>
      <c r="C24" t="s">
        <v>601</v>
      </c>
      <c r="D24" t="s">
        <v>1067</v>
      </c>
      <c r="E24" t="s">
        <v>3206</v>
      </c>
    </row>
    <row r="25" spans="1:5">
      <c r="A25" t="s">
        <v>3207</v>
      </c>
      <c r="B25" t="s">
        <v>3208</v>
      </c>
      <c r="C25" t="s">
        <v>3209</v>
      </c>
      <c r="D25" t="s">
        <v>1089</v>
      </c>
      <c r="E25" t="s">
        <v>3210</v>
      </c>
    </row>
    <row r="26" spans="1:5">
      <c r="A26" t="s">
        <v>3211</v>
      </c>
      <c r="B26" t="s">
        <v>2822</v>
      </c>
      <c r="C26" t="s">
        <v>2585</v>
      </c>
      <c r="D26" t="s">
        <v>1075</v>
      </c>
      <c r="E26" t="s">
        <v>3212</v>
      </c>
    </row>
    <row r="28" spans="1:5">
      <c r="A28" s="225" t="s">
        <v>3213</v>
      </c>
      <c r="B28" s="225"/>
      <c r="C28" s="225"/>
      <c r="D28" s="225"/>
      <c r="E28" s="225"/>
    </row>
    <row r="30" spans="1:5" ht="15.75">
      <c r="A30" s="206" t="s">
        <v>3214</v>
      </c>
      <c r="B30" s="206"/>
      <c r="C30" s="206"/>
      <c r="D30" s="206"/>
      <c r="E30" s="206"/>
    </row>
    <row r="31" spans="1:5">
      <c r="A31" s="22" t="s">
        <v>3169</v>
      </c>
      <c r="B31" s="22" t="s">
        <v>3170</v>
      </c>
      <c r="C31" s="22" t="s">
        <v>28</v>
      </c>
      <c r="D31" s="22" t="s">
        <v>3171</v>
      </c>
      <c r="E31" s="22" t="s">
        <v>3172</v>
      </c>
    </row>
    <row r="32" spans="1:5">
      <c r="A32" t="s">
        <v>3215</v>
      </c>
      <c r="B32" t="s">
        <v>325</v>
      </c>
      <c r="C32" t="s">
        <v>1325</v>
      </c>
      <c r="D32" t="s">
        <v>1075</v>
      </c>
      <c r="E32" t="s">
        <v>3216</v>
      </c>
    </row>
    <row r="33" spans="1:5">
      <c r="A33" t="s">
        <v>3217</v>
      </c>
      <c r="B33" t="s">
        <v>325</v>
      </c>
      <c r="C33" t="s">
        <v>1325</v>
      </c>
      <c r="D33" t="s">
        <v>1089</v>
      </c>
      <c r="E33" t="s">
        <v>3218</v>
      </c>
    </row>
    <row r="34" spans="1:5">
      <c r="A34" t="s">
        <v>3219</v>
      </c>
      <c r="B34" t="s">
        <v>2932</v>
      </c>
      <c r="C34" t="s">
        <v>1325</v>
      </c>
      <c r="D34" t="s">
        <v>1089</v>
      </c>
      <c r="E34" t="s">
        <v>3220</v>
      </c>
    </row>
    <row r="35" spans="1:5">
      <c r="A35" t="s">
        <v>3221</v>
      </c>
      <c r="B35" t="s">
        <v>2932</v>
      </c>
      <c r="C35" t="s">
        <v>1325</v>
      </c>
      <c r="D35" t="s">
        <v>1075</v>
      </c>
      <c r="E35" t="s">
        <v>3222</v>
      </c>
    </row>
    <row r="36" spans="1:5">
      <c r="A36" t="s">
        <v>3223</v>
      </c>
      <c r="B36" t="s">
        <v>2819</v>
      </c>
      <c r="C36" t="s">
        <v>1325</v>
      </c>
      <c r="D36" t="s">
        <v>1075</v>
      </c>
      <c r="E36" t="s">
        <v>3224</v>
      </c>
    </row>
    <row r="37" spans="1:5">
      <c r="A37" t="s">
        <v>3225</v>
      </c>
      <c r="B37" t="s">
        <v>2819</v>
      </c>
      <c r="C37" t="s">
        <v>57</v>
      </c>
      <c r="D37" t="s">
        <v>1089</v>
      </c>
      <c r="E37" t="s">
        <v>3226</v>
      </c>
    </row>
    <row r="38" spans="1:5">
      <c r="A38" t="s">
        <v>3227</v>
      </c>
      <c r="B38" t="s">
        <v>3228</v>
      </c>
      <c r="C38" t="s">
        <v>1325</v>
      </c>
      <c r="D38" t="s">
        <v>1075</v>
      </c>
      <c r="E38" t="s">
        <v>3229</v>
      </c>
    </row>
    <row r="39" spans="1:5">
      <c r="A39" t="s">
        <v>3230</v>
      </c>
      <c r="B39" t="s">
        <v>2822</v>
      </c>
      <c r="C39" t="s">
        <v>3231</v>
      </c>
      <c r="D39" t="s">
        <v>1089</v>
      </c>
      <c r="E39" t="s">
        <v>3232</v>
      </c>
    </row>
    <row r="40" spans="1:5">
      <c r="A40" t="s">
        <v>3233</v>
      </c>
      <c r="B40" t="s">
        <v>3234</v>
      </c>
      <c r="C40" t="s">
        <v>1325</v>
      </c>
      <c r="D40" t="s">
        <v>1089</v>
      </c>
      <c r="E40" t="s">
        <v>3235</v>
      </c>
    </row>
    <row r="41" spans="1:5">
      <c r="A41" t="s">
        <v>3236</v>
      </c>
      <c r="B41" t="s">
        <v>2822</v>
      </c>
      <c r="C41" t="s">
        <v>1325</v>
      </c>
      <c r="D41" t="s">
        <v>1089</v>
      </c>
      <c r="E41" t="s">
        <v>3237</v>
      </c>
    </row>
    <row r="43" spans="1:5">
      <c r="A43" s="225" t="s">
        <v>3238</v>
      </c>
      <c r="B43" s="225"/>
      <c r="C43" s="225"/>
      <c r="D43" s="225"/>
      <c r="E43" s="225"/>
    </row>
    <row r="45" spans="1:5" ht="15.75">
      <c r="A45" s="206" t="s">
        <v>3239</v>
      </c>
      <c r="B45" s="206"/>
      <c r="C45" s="206"/>
      <c r="D45" s="206"/>
      <c r="E45" s="206"/>
    </row>
    <row r="46" spans="1:5">
      <c r="A46" s="22" t="s">
        <v>3169</v>
      </c>
      <c r="B46" s="22" t="s">
        <v>3170</v>
      </c>
      <c r="C46" s="22" t="s">
        <v>28</v>
      </c>
      <c r="D46" s="22" t="s">
        <v>3171</v>
      </c>
      <c r="E46" s="22" t="s">
        <v>3172</v>
      </c>
    </row>
    <row r="47" spans="1:5">
      <c r="A47" t="s">
        <v>3240</v>
      </c>
      <c r="B47" t="s">
        <v>325</v>
      </c>
      <c r="C47" t="s">
        <v>3241</v>
      </c>
      <c r="D47" t="s">
        <v>1075</v>
      </c>
      <c r="E47" t="s">
        <v>3242</v>
      </c>
    </row>
    <row r="48" spans="1:5">
      <c r="A48" t="s">
        <v>3243</v>
      </c>
      <c r="B48" t="s">
        <v>3244</v>
      </c>
      <c r="C48" t="s">
        <v>3245</v>
      </c>
      <c r="D48" t="s">
        <v>1067</v>
      </c>
      <c r="E48" t="s">
        <v>3246</v>
      </c>
    </row>
    <row r="49" spans="1:5">
      <c r="A49" t="s">
        <v>3247</v>
      </c>
      <c r="B49" t="s">
        <v>3183</v>
      </c>
      <c r="C49" t="s">
        <v>3248</v>
      </c>
      <c r="D49" t="s">
        <v>1067</v>
      </c>
      <c r="E49" t="s">
        <v>3249</v>
      </c>
    </row>
    <row r="50" spans="1:5">
      <c r="A50" t="s">
        <v>3250</v>
      </c>
      <c r="B50" t="s">
        <v>2932</v>
      </c>
      <c r="C50" t="s">
        <v>3241</v>
      </c>
      <c r="D50" t="s">
        <v>1075</v>
      </c>
      <c r="E50" t="s">
        <v>3251</v>
      </c>
    </row>
    <row r="51" spans="1:5">
      <c r="A51" t="s">
        <v>3252</v>
      </c>
      <c r="B51" t="s">
        <v>3253</v>
      </c>
      <c r="C51" t="s">
        <v>3254</v>
      </c>
      <c r="D51" t="s">
        <v>1075</v>
      </c>
      <c r="E51" t="s">
        <v>3255</v>
      </c>
    </row>
    <row r="52" spans="1:5">
      <c r="A52" t="s">
        <v>3256</v>
      </c>
      <c r="B52" t="s">
        <v>3257</v>
      </c>
      <c r="C52" t="s">
        <v>1335</v>
      </c>
      <c r="D52" t="s">
        <v>1067</v>
      </c>
      <c r="E52" t="s">
        <v>603</v>
      </c>
    </row>
    <row r="53" spans="1:5">
      <c r="A53" t="s">
        <v>3258</v>
      </c>
      <c r="B53" t="s">
        <v>2822</v>
      </c>
      <c r="C53" t="s">
        <v>1335</v>
      </c>
      <c r="D53" t="s">
        <v>1075</v>
      </c>
      <c r="E53" t="s">
        <v>3226</v>
      </c>
    </row>
    <row r="54" spans="1:5">
      <c r="A54" t="s">
        <v>3259</v>
      </c>
      <c r="B54" t="s">
        <v>2822</v>
      </c>
      <c r="C54" t="s">
        <v>3241</v>
      </c>
      <c r="D54" t="s">
        <v>1075</v>
      </c>
      <c r="E54" t="s">
        <v>3260</v>
      </c>
    </row>
    <row r="55" spans="1:5">
      <c r="A55" s="225" t="s">
        <v>3261</v>
      </c>
      <c r="B55" s="225"/>
      <c r="C55" s="225"/>
      <c r="D55" s="225"/>
      <c r="E55" s="225"/>
    </row>
    <row r="56" spans="1:5">
      <c r="A56" t="s">
        <v>3259</v>
      </c>
      <c r="B56" t="s">
        <v>2822</v>
      </c>
      <c r="C56" t="s">
        <v>3241</v>
      </c>
      <c r="D56" t="s">
        <v>1075</v>
      </c>
      <c r="E56" t="s">
        <v>3262</v>
      </c>
    </row>
    <row r="57" spans="1:5" ht="15.75">
      <c r="A57" s="206" t="s">
        <v>3263</v>
      </c>
      <c r="B57" s="206"/>
      <c r="C57" s="206"/>
      <c r="D57" s="206"/>
      <c r="E57" s="206"/>
    </row>
    <row r="58" spans="1:5">
      <c r="A58" s="90" t="s">
        <v>3169</v>
      </c>
      <c r="B58" s="90" t="s">
        <v>3170</v>
      </c>
      <c r="C58" s="90" t="s">
        <v>28</v>
      </c>
      <c r="D58" s="90" t="s">
        <v>3171</v>
      </c>
      <c r="E58" s="90" t="s">
        <v>3172</v>
      </c>
    </row>
    <row r="59" spans="1:5">
      <c r="A59" t="s">
        <v>3264</v>
      </c>
      <c r="B59" t="s">
        <v>320</v>
      </c>
      <c r="C59" t="s">
        <v>3265</v>
      </c>
      <c r="D59" t="s">
        <v>1075</v>
      </c>
      <c r="E59" t="s">
        <v>3266</v>
      </c>
    </row>
    <row r="60" spans="1:5" ht="15.75">
      <c r="A60" s="85" t="s">
        <v>3267</v>
      </c>
      <c r="B60" s="85" t="s">
        <v>55</v>
      </c>
      <c r="C60" s="85" t="s">
        <v>3265</v>
      </c>
      <c r="D60" s="85" t="s">
        <v>1067</v>
      </c>
      <c r="E60" s="85" t="s">
        <v>3268</v>
      </c>
    </row>
    <row r="61" spans="1:5">
      <c r="A61" s="22" t="s">
        <v>3269</v>
      </c>
      <c r="B61" s="22" t="s">
        <v>2932</v>
      </c>
      <c r="C61" s="22" t="s">
        <v>3265</v>
      </c>
      <c r="D61" s="22" t="s">
        <v>1067</v>
      </c>
      <c r="E61" s="22" t="s">
        <v>3270</v>
      </c>
    </row>
    <row r="62" spans="1:5">
      <c r="A62" t="s">
        <v>3271</v>
      </c>
      <c r="B62" t="s">
        <v>2932</v>
      </c>
      <c r="C62" t="s">
        <v>3265</v>
      </c>
      <c r="D62" t="s">
        <v>1075</v>
      </c>
      <c r="E62" t="s">
        <v>3272</v>
      </c>
    </row>
    <row r="63" spans="1:5">
      <c r="A63" t="s">
        <v>3273</v>
      </c>
      <c r="B63" t="s">
        <v>2932</v>
      </c>
      <c r="C63" t="s">
        <v>3274</v>
      </c>
      <c r="D63" t="s">
        <v>1075</v>
      </c>
      <c r="E63" t="s">
        <v>3275</v>
      </c>
    </row>
    <row r="64" spans="1:5">
      <c r="A64" t="s">
        <v>3276</v>
      </c>
      <c r="B64" t="s">
        <v>2932</v>
      </c>
      <c r="C64" t="s">
        <v>3265</v>
      </c>
      <c r="D64" t="s">
        <v>1067</v>
      </c>
      <c r="E64" t="s">
        <v>3277</v>
      </c>
    </row>
    <row r="65" spans="1:5">
      <c r="A65" t="s">
        <v>3278</v>
      </c>
      <c r="B65" t="s">
        <v>2822</v>
      </c>
      <c r="C65" t="s">
        <v>3279</v>
      </c>
      <c r="D65" t="s">
        <v>1089</v>
      </c>
      <c r="E65" t="s">
        <v>3280</v>
      </c>
    </row>
    <row r="66" spans="1:5">
      <c r="A66" t="s">
        <v>3281</v>
      </c>
      <c r="B66" t="s">
        <v>2822</v>
      </c>
      <c r="C66" t="s">
        <v>3265</v>
      </c>
      <c r="D66" t="s">
        <v>1075</v>
      </c>
      <c r="E66" t="s">
        <v>3282</v>
      </c>
    </row>
    <row r="67" spans="1:5">
      <c r="A67" s="225" t="s">
        <v>3283</v>
      </c>
      <c r="B67" s="225"/>
      <c r="C67" s="225"/>
      <c r="D67" s="225"/>
      <c r="E67" s="225"/>
    </row>
    <row r="68" spans="1:5">
      <c r="A68" t="s">
        <v>3278</v>
      </c>
      <c r="B68" t="s">
        <v>2822</v>
      </c>
      <c r="C68" t="s">
        <v>3284</v>
      </c>
      <c r="D68" t="s">
        <v>1089</v>
      </c>
      <c r="E68" t="s">
        <v>3285</v>
      </c>
    </row>
    <row r="69" spans="1:5" ht="15.75">
      <c r="A69" s="206" t="s">
        <v>3286</v>
      </c>
      <c r="B69" s="206"/>
      <c r="C69" s="206"/>
      <c r="D69" s="206"/>
      <c r="E69" s="206"/>
    </row>
    <row r="70" spans="1:5">
      <c r="A70" s="22" t="s">
        <v>3169</v>
      </c>
      <c r="B70" s="22" t="s">
        <v>3170</v>
      </c>
      <c r="C70" s="22" t="s">
        <v>28</v>
      </c>
      <c r="D70" s="22" t="s">
        <v>3171</v>
      </c>
      <c r="E70" s="22" t="s">
        <v>3172</v>
      </c>
    </row>
    <row r="71" spans="1:5">
      <c r="A71" s="87" t="s">
        <v>3287</v>
      </c>
      <c r="B71" s="87" t="s">
        <v>325</v>
      </c>
      <c r="C71" s="87" t="s">
        <v>3288</v>
      </c>
      <c r="D71" s="87" t="s">
        <v>1067</v>
      </c>
      <c r="E71" s="87" t="s">
        <v>3289</v>
      </c>
    </row>
    <row r="72" spans="1:5">
      <c r="A72" t="s">
        <v>3290</v>
      </c>
      <c r="B72" t="s">
        <v>2932</v>
      </c>
      <c r="C72" t="s">
        <v>3291</v>
      </c>
      <c r="D72" t="s">
        <v>1075</v>
      </c>
      <c r="E72" t="s">
        <v>3292</v>
      </c>
    </row>
    <row r="73" spans="1:5" ht="15.75">
      <c r="A73" s="85" t="s">
        <v>3293</v>
      </c>
      <c r="B73" s="85" t="s">
        <v>2932</v>
      </c>
      <c r="C73" s="85" t="s">
        <v>3291</v>
      </c>
      <c r="D73" s="85" t="s">
        <v>1089</v>
      </c>
      <c r="E73" s="85" t="s">
        <v>3294</v>
      </c>
    </row>
    <row r="74" spans="1:5">
      <c r="A74" s="22" t="s">
        <v>3295</v>
      </c>
      <c r="B74" s="22" t="s">
        <v>2932</v>
      </c>
      <c r="C74" s="22" t="s">
        <v>3291</v>
      </c>
      <c r="D74" s="22" t="s">
        <v>1075</v>
      </c>
      <c r="E74" s="22" t="s">
        <v>3296</v>
      </c>
    </row>
    <row r="75" spans="1:5">
      <c r="A75" t="s">
        <v>3297</v>
      </c>
      <c r="B75" t="s">
        <v>2819</v>
      </c>
      <c r="C75" t="s">
        <v>3298</v>
      </c>
      <c r="D75" t="s">
        <v>1089</v>
      </c>
      <c r="E75" t="s">
        <v>3299</v>
      </c>
    </row>
    <row r="76" spans="1:5">
      <c r="A76" t="s">
        <v>3300</v>
      </c>
      <c r="B76" t="s">
        <v>2822</v>
      </c>
      <c r="C76" t="s">
        <v>3291</v>
      </c>
      <c r="D76" t="s">
        <v>1089</v>
      </c>
      <c r="E76" t="s">
        <v>3301</v>
      </c>
    </row>
    <row r="77" spans="1:5">
      <c r="A77" s="225" t="s">
        <v>3302</v>
      </c>
      <c r="B77" s="225"/>
      <c r="C77" s="225"/>
      <c r="D77" s="225"/>
      <c r="E77" s="225"/>
    </row>
    <row r="78" spans="1:5">
      <c r="A78" t="s">
        <v>3295</v>
      </c>
      <c r="B78" t="s">
        <v>2932</v>
      </c>
      <c r="C78" t="s">
        <v>3291</v>
      </c>
      <c r="D78" t="s">
        <v>1075</v>
      </c>
      <c r="E78" t="s">
        <v>3296</v>
      </c>
    </row>
    <row r="79" spans="1:5" ht="15.75">
      <c r="A79" s="206" t="s">
        <v>3303</v>
      </c>
      <c r="B79" s="206"/>
      <c r="C79" s="206"/>
      <c r="D79" s="206"/>
      <c r="E79" s="206"/>
    </row>
    <row r="80" spans="1:5">
      <c r="A80" t="s">
        <v>3304</v>
      </c>
      <c r="B80" t="s">
        <v>2822</v>
      </c>
      <c r="C80" t="s">
        <v>3305</v>
      </c>
      <c r="D80" t="s">
        <v>1089</v>
      </c>
      <c r="E80" t="s">
        <v>3306</v>
      </c>
    </row>
    <row r="81" spans="1:5">
      <c r="A81" t="s">
        <v>3307</v>
      </c>
      <c r="B81" t="s">
        <v>2822</v>
      </c>
      <c r="C81" t="s">
        <v>3291</v>
      </c>
      <c r="D81" t="s">
        <v>1089</v>
      </c>
      <c r="E81" t="s">
        <v>3308</v>
      </c>
    </row>
    <row r="82" spans="1:5">
      <c r="A82" t="s">
        <v>3309</v>
      </c>
    </row>
    <row r="83" spans="1:5">
      <c r="A83" s="225" t="s">
        <v>3310</v>
      </c>
      <c r="B83" s="225"/>
      <c r="C83" s="225"/>
      <c r="D83" s="225"/>
      <c r="E83" s="225"/>
    </row>
    <row r="84" spans="1:5">
      <c r="A84" t="s">
        <v>3311</v>
      </c>
    </row>
    <row r="85" spans="1:5" ht="15.75">
      <c r="A85" s="206" t="s">
        <v>3303</v>
      </c>
      <c r="B85" s="206"/>
      <c r="C85" s="206"/>
      <c r="D85" s="206"/>
      <c r="E85" s="206"/>
    </row>
    <row r="86" spans="1:5">
      <c r="A86" s="205" t="s">
        <v>3312</v>
      </c>
      <c r="B86" s="205"/>
      <c r="C86" s="205"/>
      <c r="D86" s="205"/>
      <c r="E86" s="205"/>
    </row>
    <row r="87" spans="1:5">
      <c r="A87" t="s">
        <v>3313</v>
      </c>
    </row>
    <row r="88" spans="1:5">
      <c r="A88" t="s">
        <v>3314</v>
      </c>
    </row>
    <row r="89" spans="1:5">
      <c r="A89" t="s">
        <v>3315</v>
      </c>
    </row>
    <row r="90" spans="1:5">
      <c r="A90" t="s">
        <v>3316</v>
      </c>
    </row>
    <row r="92" spans="1:5">
      <c r="A92" s="205" t="s">
        <v>3317</v>
      </c>
      <c r="B92" s="205"/>
      <c r="C92" s="205"/>
      <c r="D92" s="205"/>
      <c r="E92" s="205"/>
    </row>
    <row r="94" spans="1:5" ht="15.75">
      <c r="A94" s="237" t="s">
        <v>3318</v>
      </c>
      <c r="B94" s="237"/>
      <c r="C94" s="237"/>
      <c r="D94" s="237"/>
      <c r="E94" s="91"/>
    </row>
    <row r="95" spans="1:5">
      <c r="A95" s="229" t="s">
        <v>3319</v>
      </c>
      <c r="B95" s="229"/>
      <c r="C95" s="229"/>
      <c r="D95" s="229"/>
      <c r="E95" s="127"/>
    </row>
    <row r="96" spans="1:5">
      <c r="A96" s="114"/>
      <c r="B96" s="92"/>
      <c r="C96" s="92"/>
      <c r="D96" s="92"/>
      <c r="E96" s="92"/>
    </row>
    <row r="97" spans="1:5">
      <c r="A97" s="233" t="s">
        <v>3320</v>
      </c>
      <c r="B97" s="233"/>
      <c r="C97" s="233"/>
      <c r="D97" s="114"/>
      <c r="E97" s="92"/>
    </row>
    <row r="98" spans="1:5">
      <c r="A98" s="22" t="s">
        <v>3321</v>
      </c>
      <c r="B98" s="22" t="s">
        <v>3322</v>
      </c>
      <c r="C98" s="22" t="s">
        <v>3323</v>
      </c>
      <c r="D98" s="109"/>
      <c r="E98" s="92"/>
    </row>
    <row r="99" spans="1:5">
      <c r="A99" s="109" t="s">
        <v>3324</v>
      </c>
      <c r="B99" s="109" t="s">
        <v>3325</v>
      </c>
      <c r="C99" s="109" t="s">
        <v>3326</v>
      </c>
      <c r="D99" s="109"/>
      <c r="E99" s="92"/>
    </row>
    <row r="100" spans="1:5">
      <c r="A100" s="162" t="s">
        <v>3327</v>
      </c>
      <c r="B100" s="162" t="s">
        <v>3328</v>
      </c>
      <c r="C100" s="162" t="s">
        <v>3329</v>
      </c>
      <c r="D100" s="109"/>
      <c r="E100" s="92"/>
    </row>
    <row r="101" spans="1:5">
      <c r="A101" s="109" t="s">
        <v>3330</v>
      </c>
      <c r="B101" s="109" t="s">
        <v>3331</v>
      </c>
      <c r="C101" s="109" t="s">
        <v>3332</v>
      </c>
      <c r="D101" s="109"/>
      <c r="E101" s="92"/>
    </row>
    <row r="102" spans="1:5">
      <c r="A102" s="162" t="s">
        <v>3333</v>
      </c>
      <c r="B102" s="162" t="s">
        <v>3334</v>
      </c>
      <c r="C102" s="162" t="s">
        <v>3335</v>
      </c>
      <c r="D102" s="92"/>
      <c r="E102" s="92"/>
    </row>
    <row r="103" spans="1:5">
      <c r="A103" s="109" t="s">
        <v>3336</v>
      </c>
      <c r="B103" s="109" t="s">
        <v>3337</v>
      </c>
      <c r="C103" s="109" t="s">
        <v>3338</v>
      </c>
      <c r="D103" s="92"/>
      <c r="E103" s="92"/>
    </row>
    <row r="104" spans="1:5">
      <c r="A104" s="162" t="s">
        <v>1308</v>
      </c>
      <c r="B104" s="162" t="s">
        <v>3339</v>
      </c>
      <c r="C104" s="162" t="s">
        <v>3340</v>
      </c>
      <c r="D104" s="92"/>
      <c r="E104" s="92"/>
    </row>
    <row r="105" spans="1:5" ht="15.75">
      <c r="A105" s="91"/>
      <c r="B105" s="91"/>
      <c r="C105" s="91"/>
      <c r="D105" s="91"/>
      <c r="E105" s="92"/>
    </row>
    <row r="106" spans="1:5">
      <c r="A106" s="238" t="s">
        <v>3341</v>
      </c>
      <c r="B106" s="238"/>
      <c r="C106" s="238"/>
      <c r="D106" s="238"/>
      <c r="E106" s="92"/>
    </row>
    <row r="107" spans="1:5">
      <c r="A107" s="92" t="s">
        <v>3342</v>
      </c>
      <c r="B107" s="92"/>
      <c r="C107" s="92"/>
      <c r="D107" s="92"/>
      <c r="E107" s="92"/>
    </row>
    <row r="108" spans="1:5" ht="15.75">
      <c r="A108" s="91"/>
      <c r="B108" s="91"/>
      <c r="C108" s="91"/>
      <c r="D108" s="91"/>
      <c r="E108" s="91"/>
    </row>
    <row r="109" spans="1:5">
      <c r="A109" s="233" t="s">
        <v>3343</v>
      </c>
      <c r="B109" s="233"/>
      <c r="C109" s="233"/>
      <c r="D109" s="233"/>
      <c r="E109" s="114"/>
    </row>
    <row r="110" spans="1:5">
      <c r="A110" s="22" t="s">
        <v>213</v>
      </c>
      <c r="B110" s="22" t="s">
        <v>3344</v>
      </c>
      <c r="C110" s="22" t="s">
        <v>3345</v>
      </c>
      <c r="D110" s="22" t="s">
        <v>3346</v>
      </c>
      <c r="E110" s="92"/>
    </row>
    <row r="111" spans="1:5">
      <c r="A111" s="109" t="s">
        <v>3347</v>
      </c>
      <c r="B111" s="109" t="s">
        <v>3348</v>
      </c>
      <c r="C111" s="109" t="s">
        <v>3349</v>
      </c>
      <c r="D111" s="109" t="s">
        <v>3350</v>
      </c>
      <c r="E111" s="92"/>
    </row>
    <row r="112" spans="1:5" ht="15.75">
      <c r="A112" s="109" t="s">
        <v>3351</v>
      </c>
      <c r="B112" s="109" t="s">
        <v>3352</v>
      </c>
      <c r="C112" s="109" t="s">
        <v>3353</v>
      </c>
      <c r="D112" s="109" t="s">
        <v>3354</v>
      </c>
      <c r="E112" s="91"/>
    </row>
    <row r="113" spans="1:5">
      <c r="A113" s="109" t="s">
        <v>3355</v>
      </c>
      <c r="B113" s="109" t="s">
        <v>3356</v>
      </c>
      <c r="C113" s="109" t="s">
        <v>3357</v>
      </c>
      <c r="D113" s="109" t="s">
        <v>3358</v>
      </c>
      <c r="E113" s="114"/>
    </row>
    <row r="114" spans="1:5">
      <c r="A114" s="109" t="s">
        <v>3359</v>
      </c>
      <c r="B114" s="109" t="s">
        <v>3360</v>
      </c>
      <c r="C114" s="109" t="s">
        <v>3361</v>
      </c>
      <c r="D114" s="109" t="s">
        <v>3362</v>
      </c>
      <c r="E114" s="92"/>
    </row>
    <row r="115" spans="1:5">
      <c r="A115" s="109" t="s">
        <v>3363</v>
      </c>
      <c r="B115" s="109" t="s">
        <v>3364</v>
      </c>
      <c r="C115" s="109" t="s">
        <v>3365</v>
      </c>
      <c r="D115" s="109" t="s">
        <v>3366</v>
      </c>
      <c r="E115" s="92"/>
    </row>
    <row r="116" spans="1:5">
      <c r="A116" s="114"/>
      <c r="B116" s="92"/>
      <c r="C116" s="92"/>
      <c r="D116" s="92"/>
      <c r="E116" s="92"/>
    </row>
    <row r="117" spans="1:5">
      <c r="A117" s="233" t="s">
        <v>3367</v>
      </c>
      <c r="B117" s="233"/>
      <c r="C117" s="233"/>
      <c r="D117" s="233"/>
      <c r="E117" s="92"/>
    </row>
    <row r="118" spans="1:5" ht="15.75">
      <c r="A118" s="105" t="s">
        <v>3368</v>
      </c>
      <c r="B118" s="105" t="s">
        <v>3369</v>
      </c>
      <c r="C118" s="105" t="s">
        <v>3370</v>
      </c>
      <c r="D118" s="105" t="s">
        <v>3371</v>
      </c>
      <c r="E118" s="92"/>
    </row>
    <row r="119" spans="1:5">
      <c r="A119" s="61" t="s">
        <v>3327</v>
      </c>
      <c r="B119" s="109" t="s">
        <v>3372</v>
      </c>
      <c r="C119" s="109" t="s">
        <v>3373</v>
      </c>
      <c r="D119" s="109" t="s">
        <v>3374</v>
      </c>
      <c r="E119" s="92"/>
    </row>
    <row r="120" spans="1:5">
      <c r="A120" s="200" t="s">
        <v>3330</v>
      </c>
      <c r="B120" s="109" t="s">
        <v>3375</v>
      </c>
      <c r="C120" s="109" t="s">
        <v>3376</v>
      </c>
      <c r="D120" s="109" t="s">
        <v>3377</v>
      </c>
      <c r="E120" s="92"/>
    </row>
    <row r="121" spans="1:5">
      <c r="A121" s="133" t="s">
        <v>3333</v>
      </c>
      <c r="B121" s="109" t="s">
        <v>3378</v>
      </c>
      <c r="C121" s="109" t="s">
        <v>3379</v>
      </c>
      <c r="D121" s="109" t="s">
        <v>3380</v>
      </c>
      <c r="E121" s="92"/>
    </row>
    <row r="122" spans="1:5">
      <c r="A122" s="92"/>
      <c r="B122" s="92"/>
      <c r="C122" s="92"/>
      <c r="D122" s="92"/>
      <c r="E122" s="92"/>
    </row>
    <row r="123" spans="1:5">
      <c r="A123" s="239" t="s">
        <v>3381</v>
      </c>
      <c r="B123" s="239"/>
      <c r="C123" s="239"/>
      <c r="D123" s="92"/>
      <c r="E123" s="92"/>
    </row>
    <row r="124" spans="1:5" ht="15.75">
      <c r="A124" s="105" t="s">
        <v>2490</v>
      </c>
      <c r="B124" s="105" t="s">
        <v>214</v>
      </c>
      <c r="C124" s="105" t="s">
        <v>3382</v>
      </c>
      <c r="D124" s="92"/>
      <c r="E124" s="92"/>
    </row>
    <row r="125" spans="1:5">
      <c r="A125" s="109">
        <v>1</v>
      </c>
      <c r="B125" s="109" t="s">
        <v>3383</v>
      </c>
      <c r="C125" s="109" t="s">
        <v>3384</v>
      </c>
      <c r="D125" s="92"/>
      <c r="E125" s="92"/>
    </row>
    <row r="126" spans="1:5">
      <c r="A126" s="109">
        <v>2</v>
      </c>
      <c r="B126" s="109" t="s">
        <v>3385</v>
      </c>
      <c r="C126" s="109" t="s">
        <v>3386</v>
      </c>
      <c r="D126" s="92"/>
      <c r="E126" s="92"/>
    </row>
    <row r="127" spans="1:5">
      <c r="A127" s="109">
        <v>3</v>
      </c>
      <c r="B127" s="109" t="s">
        <v>3387</v>
      </c>
      <c r="C127" s="109" t="s">
        <v>3388</v>
      </c>
      <c r="D127" s="92"/>
      <c r="E127" s="92"/>
    </row>
    <row r="128" spans="1:5" ht="15.75">
      <c r="A128" s="109">
        <v>4</v>
      </c>
      <c r="B128" s="109" t="s">
        <v>3389</v>
      </c>
      <c r="C128" s="109" t="s">
        <v>3390</v>
      </c>
      <c r="D128" s="91"/>
      <c r="E128" s="92"/>
    </row>
    <row r="129" spans="1:5">
      <c r="A129" s="109">
        <v>5</v>
      </c>
      <c r="B129" s="109" t="s">
        <v>3391</v>
      </c>
      <c r="C129" s="109" t="s">
        <v>3392</v>
      </c>
      <c r="D129" s="92"/>
      <c r="E129" s="92"/>
    </row>
    <row r="130" spans="1:5">
      <c r="A130" s="109">
        <v>6</v>
      </c>
      <c r="B130" s="109" t="s">
        <v>3393</v>
      </c>
      <c r="C130" s="109" t="s">
        <v>43</v>
      </c>
      <c r="D130" s="92"/>
      <c r="E130" s="92"/>
    </row>
    <row r="131" spans="1:5" ht="15.75">
      <c r="A131" s="109">
        <v>7</v>
      </c>
      <c r="B131" s="109" t="s">
        <v>3394</v>
      </c>
      <c r="C131" s="109" t="s">
        <v>3395</v>
      </c>
      <c r="D131" s="91"/>
      <c r="E131" s="92"/>
    </row>
    <row r="132" spans="1:5" ht="15.75" customHeight="1">
      <c r="A132" s="232" t="s">
        <v>3396</v>
      </c>
      <c r="B132" s="232"/>
      <c r="C132" s="232"/>
      <c r="D132" s="92"/>
      <c r="E132" s="92"/>
    </row>
    <row r="133" spans="1:5">
      <c r="A133" s="127"/>
      <c r="B133" s="92"/>
      <c r="C133" s="92"/>
      <c r="D133" s="92"/>
      <c r="E133" s="92"/>
    </row>
    <row r="134" spans="1:5" ht="15.75" customHeight="1">
      <c r="A134" s="233" t="s">
        <v>3397</v>
      </c>
      <c r="B134" s="233"/>
      <c r="C134" s="233"/>
      <c r="D134" s="233"/>
      <c r="E134" s="92"/>
    </row>
    <row r="135" spans="1:5" ht="409.6">
      <c r="A135" s="199" t="s">
        <v>3398</v>
      </c>
      <c r="B135" s="92"/>
      <c r="C135" s="92"/>
      <c r="D135" s="92"/>
      <c r="E135" s="92"/>
    </row>
    <row r="136" spans="1:5">
      <c r="A136" s="92"/>
      <c r="B136" s="92"/>
      <c r="C136" s="92"/>
      <c r="D136" s="92"/>
      <c r="E136" s="92"/>
    </row>
    <row r="137" spans="1:5">
      <c r="A137" s="240" t="s">
        <v>3399</v>
      </c>
      <c r="B137" s="240"/>
      <c r="C137" s="240"/>
      <c r="D137" s="240"/>
      <c r="E137" s="127"/>
    </row>
    <row r="138" spans="1:5" ht="409.6">
      <c r="A138" s="199" t="s">
        <v>3400</v>
      </c>
      <c r="B138" s="92"/>
      <c r="C138" s="92"/>
      <c r="D138" s="92"/>
      <c r="E138" s="92"/>
    </row>
    <row r="139" spans="1:5">
      <c r="A139" s="92"/>
      <c r="B139" s="92"/>
      <c r="C139" s="92"/>
      <c r="D139" s="92"/>
      <c r="E139" s="92"/>
    </row>
    <row r="140" spans="1:5">
      <c r="A140" s="233" t="s">
        <v>3401</v>
      </c>
      <c r="B140" s="233"/>
      <c r="C140" s="233"/>
      <c r="D140" s="233"/>
      <c r="E140" s="92"/>
    </row>
    <row r="141" spans="1:5" ht="409.6">
      <c r="A141" s="199" t="s">
        <v>3402</v>
      </c>
      <c r="B141" s="92"/>
      <c r="C141" s="92"/>
      <c r="D141" s="92"/>
      <c r="E141" s="92"/>
    </row>
    <row r="142" spans="1:5">
      <c r="A142" s="92"/>
      <c r="B142" s="92"/>
      <c r="C142" s="92"/>
      <c r="D142" s="92"/>
      <c r="E142" s="92"/>
    </row>
    <row r="143" spans="1:5">
      <c r="A143" s="229" t="s">
        <v>3403</v>
      </c>
      <c r="B143" s="229"/>
      <c r="C143" s="229"/>
      <c r="D143" s="229"/>
      <c r="E143" s="92"/>
    </row>
    <row r="144" spans="1:5" ht="15.75">
      <c r="A144" s="91"/>
      <c r="B144" s="91"/>
      <c r="C144" s="91"/>
      <c r="D144" s="92"/>
      <c r="E144" s="92"/>
    </row>
    <row r="145" spans="1:5">
      <c r="A145" s="241" t="s">
        <v>3404</v>
      </c>
      <c r="B145" s="241"/>
      <c r="C145" s="241"/>
      <c r="D145" s="241"/>
      <c r="E145" s="92"/>
    </row>
    <row r="146" spans="1:5">
      <c r="A146" s="116"/>
      <c r="B146" s="92"/>
      <c r="C146" s="92"/>
      <c r="D146" s="92"/>
      <c r="E146" s="92"/>
    </row>
    <row r="147" spans="1:5">
      <c r="A147" s="116"/>
      <c r="B147" s="92"/>
      <c r="C147" s="92"/>
      <c r="D147" s="92"/>
      <c r="E147" s="92"/>
    </row>
    <row r="148" spans="1:5">
      <c r="A148" s="116"/>
      <c r="B148" s="92"/>
      <c r="C148" s="92"/>
      <c r="D148" s="92"/>
      <c r="E148" s="92"/>
    </row>
    <row r="149" spans="1:5">
      <c r="A149" s="92"/>
      <c r="B149" s="92"/>
      <c r="C149" s="92"/>
      <c r="D149" s="92"/>
      <c r="E149" s="92"/>
    </row>
    <row r="150" spans="1:5">
      <c r="A150" s="127"/>
      <c r="B150" s="127"/>
      <c r="C150" s="127"/>
      <c r="D150" s="127"/>
      <c r="E150" s="127"/>
    </row>
    <row r="151" spans="1:5">
      <c r="A151" s="92"/>
      <c r="B151" s="92"/>
      <c r="C151" s="92"/>
      <c r="D151" s="92"/>
      <c r="E151" s="92"/>
    </row>
    <row r="152" spans="1:5">
      <c r="A152" s="92"/>
      <c r="B152" s="92"/>
      <c r="C152" s="92"/>
      <c r="D152" s="92"/>
      <c r="E152" s="92"/>
    </row>
    <row r="153" spans="1:5">
      <c r="A153" s="92"/>
      <c r="B153" s="92"/>
      <c r="C153" s="92"/>
      <c r="D153" s="92"/>
      <c r="E153" s="92"/>
    </row>
    <row r="154" spans="1:5">
      <c r="A154" s="92"/>
      <c r="B154" s="92"/>
      <c r="C154" s="92"/>
      <c r="D154" s="92"/>
      <c r="E154" s="92"/>
    </row>
    <row r="155" spans="1:5">
      <c r="A155" s="92"/>
      <c r="B155" s="92"/>
      <c r="C155" s="92"/>
      <c r="D155" s="92"/>
      <c r="E155" s="92"/>
    </row>
    <row r="156" spans="1:5">
      <c r="A156" s="92"/>
      <c r="B156" s="92"/>
      <c r="C156" s="92"/>
      <c r="D156" s="92"/>
      <c r="E156" s="92"/>
    </row>
    <row r="157" spans="1:5">
      <c r="A157" s="92"/>
      <c r="B157" s="92"/>
      <c r="C157" s="92"/>
      <c r="D157" s="92"/>
      <c r="E157" s="92"/>
    </row>
    <row r="158" spans="1:5">
      <c r="A158" s="92"/>
      <c r="B158" s="92"/>
      <c r="C158" s="92"/>
      <c r="D158" s="92"/>
      <c r="E158" s="92"/>
    </row>
    <row r="159" spans="1:5">
      <c r="A159" s="92"/>
      <c r="B159" s="92"/>
      <c r="C159" s="92"/>
      <c r="D159" s="92"/>
      <c r="E159" s="92"/>
    </row>
    <row r="160" spans="1:5">
      <c r="A160" s="92"/>
      <c r="B160" s="92"/>
      <c r="C160" s="92"/>
      <c r="D160" s="92"/>
      <c r="E160" s="92"/>
    </row>
  </sheetData>
  <mergeCells count="31">
    <mergeCell ref="A140:D140"/>
    <mergeCell ref="A143:D143"/>
    <mergeCell ref="A145:D145"/>
    <mergeCell ref="A94:D94"/>
    <mergeCell ref="A95:D95"/>
    <mergeCell ref="A97:C97"/>
    <mergeCell ref="A106:D106"/>
    <mergeCell ref="A109:D109"/>
    <mergeCell ref="A117:D117"/>
    <mergeCell ref="A123:C123"/>
    <mergeCell ref="A137:D137"/>
    <mergeCell ref="A132:C132"/>
    <mergeCell ref="A134:D134"/>
    <mergeCell ref="A83:E83"/>
    <mergeCell ref="A85:E85"/>
    <mergeCell ref="A92:E92"/>
    <mergeCell ref="A55:E55"/>
    <mergeCell ref="A57:E57"/>
    <mergeCell ref="A67:E67"/>
    <mergeCell ref="A69:E69"/>
    <mergeCell ref="A77:E77"/>
    <mergeCell ref="A79:E79"/>
    <mergeCell ref="A86:E86"/>
    <mergeCell ref="A43:E43"/>
    <mergeCell ref="A45:E45"/>
    <mergeCell ref="A1:E1"/>
    <mergeCell ref="A2:E2"/>
    <mergeCell ref="A4:E4"/>
    <mergeCell ref="A9:E9"/>
    <mergeCell ref="A28:E28"/>
    <mergeCell ref="A30:E30"/>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2ECE7-567E-4D2F-8D48-33ADEAE2927E}">
  <sheetPr>
    <tabColor rgb="FF7C7871"/>
  </sheetPr>
  <dimension ref="A1:Z35"/>
  <sheetViews>
    <sheetView workbookViewId="0"/>
  </sheetViews>
  <sheetFormatPr defaultRowHeight="15"/>
  <cols>
    <col min="26" max="26" width="0" hidden="1" customWidth="1"/>
  </cols>
  <sheetData>
    <row r="1" spans="1:26" ht="23.25">
      <c r="A1" s="188" t="s">
        <v>3405</v>
      </c>
      <c r="B1" s="98"/>
      <c r="C1" s="98"/>
      <c r="D1" s="98"/>
      <c r="E1" s="98"/>
      <c r="F1" s="98"/>
      <c r="G1" s="98"/>
      <c r="H1" s="98"/>
      <c r="Z1" t="s">
        <v>1114</v>
      </c>
    </row>
    <row r="2" spans="1:26">
      <c r="A2" s="132" t="s">
        <v>3406</v>
      </c>
      <c r="B2" s="97"/>
      <c r="C2" s="97"/>
      <c r="D2" s="97"/>
      <c r="E2" s="97"/>
      <c r="F2" s="97"/>
      <c r="G2" s="97"/>
      <c r="H2" s="97"/>
      <c r="Z2" t="s">
        <v>1115</v>
      </c>
    </row>
    <row r="3" spans="1:26">
      <c r="Z3" t="s">
        <v>2643</v>
      </c>
    </row>
    <row r="4" spans="1:26">
      <c r="A4" t="s">
        <v>1612</v>
      </c>
      <c r="B4" s="3">
        <v>2026</v>
      </c>
      <c r="C4" t="s">
        <v>3407</v>
      </c>
      <c r="D4" s="3" t="s">
        <v>457</v>
      </c>
      <c r="E4" t="s">
        <v>3408</v>
      </c>
      <c r="F4" s="3" t="s">
        <v>2297</v>
      </c>
      <c r="Z4" t="s">
        <v>2423</v>
      </c>
    </row>
    <row r="6" spans="1:26">
      <c r="A6" s="22" t="s">
        <v>661</v>
      </c>
      <c r="B6" s="22" t="s">
        <v>3409</v>
      </c>
      <c r="C6" s="22" t="s">
        <v>3094</v>
      </c>
      <c r="D6" s="22" t="s">
        <v>3410</v>
      </c>
      <c r="E6" s="22" t="s">
        <v>279</v>
      </c>
      <c r="F6" s="22" t="s">
        <v>28</v>
      </c>
      <c r="G6" s="22" t="s">
        <v>3411</v>
      </c>
      <c r="H6" s="22" t="s">
        <v>2829</v>
      </c>
    </row>
    <row r="7" spans="1:26">
      <c r="A7" t="s">
        <v>3412</v>
      </c>
      <c r="B7" t="s">
        <v>601</v>
      </c>
      <c r="C7" t="s">
        <v>3413</v>
      </c>
      <c r="D7" t="s">
        <v>3414</v>
      </c>
      <c r="E7" s="3" t="s">
        <v>1114</v>
      </c>
      <c r="F7" t="s">
        <v>2585</v>
      </c>
      <c r="G7" s="3"/>
      <c r="H7" s="3"/>
    </row>
    <row r="8" spans="1:26">
      <c r="A8" t="s">
        <v>3415</v>
      </c>
      <c r="B8" t="s">
        <v>601</v>
      </c>
      <c r="C8" t="s">
        <v>3413</v>
      </c>
      <c r="D8" t="s">
        <v>3416</v>
      </c>
      <c r="E8" s="3" t="s">
        <v>1114</v>
      </c>
      <c r="F8" t="s">
        <v>2585</v>
      </c>
      <c r="G8" s="3"/>
      <c r="H8" s="3"/>
    </row>
    <row r="9" spans="1:26">
      <c r="A9" t="s">
        <v>3417</v>
      </c>
      <c r="B9" t="s">
        <v>601</v>
      </c>
      <c r="C9" t="s">
        <v>3413</v>
      </c>
      <c r="D9" t="s">
        <v>3418</v>
      </c>
      <c r="E9" s="3" t="s">
        <v>1114</v>
      </c>
      <c r="F9" t="s">
        <v>2585</v>
      </c>
      <c r="G9" s="3"/>
      <c r="H9" s="3"/>
    </row>
    <row r="10" spans="1:26">
      <c r="A10" t="s">
        <v>3419</v>
      </c>
      <c r="B10" t="s">
        <v>601</v>
      </c>
      <c r="C10" t="s">
        <v>3413</v>
      </c>
      <c r="D10" t="s">
        <v>3420</v>
      </c>
      <c r="E10" s="3" t="s">
        <v>1114</v>
      </c>
      <c r="F10" t="s">
        <v>3421</v>
      </c>
      <c r="G10" s="3"/>
      <c r="H10" s="3"/>
    </row>
    <row r="11" spans="1:26">
      <c r="A11" t="s">
        <v>3422</v>
      </c>
      <c r="B11" t="s">
        <v>601</v>
      </c>
      <c r="C11" t="s">
        <v>3413</v>
      </c>
      <c r="D11" t="s">
        <v>3423</v>
      </c>
      <c r="E11" s="3" t="s">
        <v>1114</v>
      </c>
      <c r="F11" t="s">
        <v>601</v>
      </c>
      <c r="G11" s="3"/>
      <c r="H11" s="3"/>
    </row>
    <row r="12" spans="1:26">
      <c r="A12" t="s">
        <v>3424</v>
      </c>
      <c r="B12" t="s">
        <v>601</v>
      </c>
      <c r="C12" t="s">
        <v>3425</v>
      </c>
      <c r="D12" t="s">
        <v>3426</v>
      </c>
      <c r="E12" s="3" t="s">
        <v>1114</v>
      </c>
      <c r="F12" t="s">
        <v>3421</v>
      </c>
      <c r="G12" s="3"/>
      <c r="H12" s="3"/>
    </row>
    <row r="13" spans="1:26">
      <c r="A13" t="s">
        <v>3427</v>
      </c>
      <c r="B13" t="s">
        <v>1323</v>
      </c>
      <c r="C13" t="s">
        <v>3413</v>
      </c>
      <c r="D13" t="s">
        <v>3428</v>
      </c>
      <c r="E13" s="3" t="s">
        <v>1114</v>
      </c>
      <c r="F13" t="s">
        <v>1325</v>
      </c>
      <c r="G13" s="3"/>
      <c r="H13" s="3"/>
    </row>
    <row r="14" spans="1:26">
      <c r="A14" t="s">
        <v>3429</v>
      </c>
      <c r="B14" t="s">
        <v>1323</v>
      </c>
      <c r="C14" t="s">
        <v>3413</v>
      </c>
      <c r="D14" t="s">
        <v>3430</v>
      </c>
      <c r="E14" s="3" t="s">
        <v>1114</v>
      </c>
      <c r="F14" t="s">
        <v>1325</v>
      </c>
      <c r="G14" s="3"/>
      <c r="H14" s="3"/>
    </row>
    <row r="15" spans="1:26">
      <c r="A15" t="s">
        <v>3431</v>
      </c>
      <c r="B15" t="s">
        <v>1323</v>
      </c>
      <c r="C15" t="s">
        <v>3413</v>
      </c>
      <c r="D15" t="s">
        <v>3432</v>
      </c>
      <c r="E15" s="3" t="s">
        <v>1114</v>
      </c>
      <c r="F15" t="s">
        <v>1325</v>
      </c>
      <c r="G15" s="3"/>
      <c r="H15" s="3"/>
    </row>
    <row r="16" spans="1:26">
      <c r="A16" t="s">
        <v>3433</v>
      </c>
      <c r="B16" t="s">
        <v>1323</v>
      </c>
      <c r="C16" t="s">
        <v>3413</v>
      </c>
      <c r="D16" t="s">
        <v>3434</v>
      </c>
      <c r="E16" s="3" t="s">
        <v>1114</v>
      </c>
      <c r="F16" t="s">
        <v>57</v>
      </c>
      <c r="G16" s="3"/>
      <c r="H16" s="3"/>
    </row>
    <row r="17" spans="1:8">
      <c r="A17" t="s">
        <v>3435</v>
      </c>
      <c r="B17" t="s">
        <v>1323</v>
      </c>
      <c r="C17" t="s">
        <v>3425</v>
      </c>
      <c r="D17" t="s">
        <v>3436</v>
      </c>
      <c r="E17" s="3" t="s">
        <v>1114</v>
      </c>
      <c r="F17" t="s">
        <v>1325</v>
      </c>
      <c r="G17" s="3"/>
      <c r="H17" s="3"/>
    </row>
    <row r="18" spans="1:8">
      <c r="A18" t="s">
        <v>3437</v>
      </c>
      <c r="B18" t="s">
        <v>1335</v>
      </c>
      <c r="C18" t="s">
        <v>3413</v>
      </c>
      <c r="D18" t="s">
        <v>3438</v>
      </c>
      <c r="E18" s="3" t="s">
        <v>1114</v>
      </c>
      <c r="F18" t="s">
        <v>3241</v>
      </c>
      <c r="G18" s="3"/>
      <c r="H18" s="3"/>
    </row>
    <row r="19" spans="1:8">
      <c r="A19" t="s">
        <v>3439</v>
      </c>
      <c r="B19" t="s">
        <v>1335</v>
      </c>
      <c r="C19" t="s">
        <v>3413</v>
      </c>
      <c r="D19" t="s">
        <v>3440</v>
      </c>
      <c r="E19" s="3" t="s">
        <v>1114</v>
      </c>
      <c r="F19" t="s">
        <v>3441</v>
      </c>
      <c r="G19" s="3"/>
      <c r="H19" s="3"/>
    </row>
    <row r="20" spans="1:8">
      <c r="A20" t="s">
        <v>3442</v>
      </c>
      <c r="B20" t="s">
        <v>1335</v>
      </c>
      <c r="C20" t="s">
        <v>3413</v>
      </c>
      <c r="D20" t="s">
        <v>3443</v>
      </c>
      <c r="E20" s="3" t="s">
        <v>1114</v>
      </c>
      <c r="F20" t="s">
        <v>3241</v>
      </c>
      <c r="G20" s="3"/>
      <c r="H20" s="3"/>
    </row>
    <row r="21" spans="1:8">
      <c r="A21" t="s">
        <v>3444</v>
      </c>
      <c r="B21" t="s">
        <v>1335</v>
      </c>
      <c r="C21" t="s">
        <v>3413</v>
      </c>
      <c r="D21" t="s">
        <v>3445</v>
      </c>
      <c r="E21" s="3" t="s">
        <v>1114</v>
      </c>
      <c r="F21" t="s">
        <v>3241</v>
      </c>
      <c r="G21" s="3"/>
      <c r="H21" s="3"/>
    </row>
    <row r="22" spans="1:8">
      <c r="A22" t="s">
        <v>3446</v>
      </c>
      <c r="B22" t="s">
        <v>2477</v>
      </c>
      <c r="C22" t="s">
        <v>3413</v>
      </c>
      <c r="D22" t="s">
        <v>3447</v>
      </c>
      <c r="E22" s="3" t="s">
        <v>1114</v>
      </c>
      <c r="F22" t="s">
        <v>3265</v>
      </c>
      <c r="G22" s="3"/>
      <c r="H22" s="3"/>
    </row>
    <row r="23" spans="1:8">
      <c r="A23" t="s">
        <v>3448</v>
      </c>
      <c r="B23" t="s">
        <v>2477</v>
      </c>
      <c r="C23" t="s">
        <v>3413</v>
      </c>
      <c r="D23" t="s">
        <v>3449</v>
      </c>
      <c r="E23" s="3" t="s">
        <v>1114</v>
      </c>
      <c r="F23" t="s">
        <v>3265</v>
      </c>
      <c r="G23" s="3"/>
      <c r="H23" s="3"/>
    </row>
    <row r="24" spans="1:8">
      <c r="A24" t="s">
        <v>3450</v>
      </c>
      <c r="B24" t="s">
        <v>2477</v>
      </c>
      <c r="C24" t="s">
        <v>3413</v>
      </c>
      <c r="D24" t="s">
        <v>3451</v>
      </c>
      <c r="E24" s="3" t="s">
        <v>1114</v>
      </c>
      <c r="F24" t="s">
        <v>3452</v>
      </c>
      <c r="G24" s="3"/>
      <c r="H24" s="3"/>
    </row>
    <row r="25" spans="1:8">
      <c r="A25" t="s">
        <v>3453</v>
      </c>
      <c r="B25" t="s">
        <v>2477</v>
      </c>
      <c r="C25" t="s">
        <v>457</v>
      </c>
      <c r="D25" t="s">
        <v>3454</v>
      </c>
      <c r="E25" s="3" t="s">
        <v>1114</v>
      </c>
      <c r="F25" t="s">
        <v>3274</v>
      </c>
      <c r="G25" s="3"/>
      <c r="H25" s="3"/>
    </row>
    <row r="26" spans="1:8">
      <c r="A26" t="s">
        <v>3455</v>
      </c>
      <c r="B26" t="s">
        <v>3456</v>
      </c>
      <c r="C26" t="s">
        <v>457</v>
      </c>
      <c r="D26" t="s">
        <v>3457</v>
      </c>
      <c r="E26" s="3" t="s">
        <v>1114</v>
      </c>
      <c r="F26" t="s">
        <v>470</v>
      </c>
      <c r="G26" s="3"/>
      <c r="H26" s="3"/>
    </row>
    <row r="27" spans="1:8">
      <c r="A27" t="s">
        <v>3458</v>
      </c>
      <c r="B27" t="s">
        <v>3456</v>
      </c>
      <c r="C27" t="s">
        <v>457</v>
      </c>
      <c r="D27" t="s">
        <v>3459</v>
      </c>
      <c r="E27" s="3" t="s">
        <v>1114</v>
      </c>
      <c r="F27" t="s">
        <v>52</v>
      </c>
      <c r="G27" s="3"/>
      <c r="H27" s="3"/>
    </row>
    <row r="28" spans="1:8">
      <c r="A28" t="s">
        <v>3460</v>
      </c>
      <c r="B28" t="s">
        <v>3456</v>
      </c>
      <c r="C28" t="s">
        <v>457</v>
      </c>
      <c r="D28" t="s">
        <v>3461</v>
      </c>
      <c r="E28" s="3" t="s">
        <v>1114</v>
      </c>
      <c r="F28" t="s">
        <v>470</v>
      </c>
      <c r="G28" s="3"/>
      <c r="H28" s="3"/>
    </row>
    <row r="29" spans="1:8">
      <c r="A29" t="s">
        <v>3462</v>
      </c>
      <c r="B29" t="s">
        <v>3456</v>
      </c>
      <c r="C29" t="s">
        <v>457</v>
      </c>
      <c r="D29" t="s">
        <v>3463</v>
      </c>
      <c r="E29" s="3" t="s">
        <v>1114</v>
      </c>
      <c r="F29" t="s">
        <v>3464</v>
      </c>
      <c r="G29" s="3"/>
      <c r="H29" s="3"/>
    </row>
    <row r="30" spans="1:8">
      <c r="A30" t="s">
        <v>3465</v>
      </c>
      <c r="B30" t="s">
        <v>3456</v>
      </c>
      <c r="C30" t="s">
        <v>457</v>
      </c>
      <c r="D30" t="s">
        <v>3466</v>
      </c>
      <c r="E30" s="3" t="s">
        <v>1114</v>
      </c>
      <c r="F30" t="s">
        <v>43</v>
      </c>
      <c r="G30" s="3"/>
      <c r="H30" s="3"/>
    </row>
    <row r="31" spans="1:8">
      <c r="A31" t="s">
        <v>3467</v>
      </c>
      <c r="B31" t="s">
        <v>972</v>
      </c>
      <c r="C31" t="s">
        <v>3425</v>
      </c>
      <c r="D31" t="s">
        <v>3468</v>
      </c>
      <c r="E31" s="3" t="s">
        <v>1114</v>
      </c>
      <c r="F31" t="s">
        <v>52</v>
      </c>
      <c r="G31" s="3" t="s">
        <v>3469</v>
      </c>
      <c r="H31" s="3"/>
    </row>
    <row r="32" spans="1:8">
      <c r="A32" t="s">
        <v>3470</v>
      </c>
      <c r="B32" t="s">
        <v>972</v>
      </c>
      <c r="C32" t="s">
        <v>3425</v>
      </c>
      <c r="D32" t="s">
        <v>3471</v>
      </c>
      <c r="E32" s="3" t="s">
        <v>1114</v>
      </c>
      <c r="F32" t="s">
        <v>52</v>
      </c>
      <c r="G32" s="3"/>
      <c r="H32" s="3"/>
    </row>
    <row r="34" spans="1:8">
      <c r="A34" s="204" t="s">
        <v>3472</v>
      </c>
      <c r="B34" s="204"/>
      <c r="C34" s="204"/>
      <c r="D34" s="204"/>
      <c r="E34" s="204"/>
      <c r="F34" s="204"/>
      <c r="G34" s="204"/>
      <c r="H34" s="204"/>
    </row>
    <row r="35" spans="1:8">
      <c r="A35" s="205" t="s">
        <v>3473</v>
      </c>
      <c r="B35" s="205"/>
      <c r="C35" s="205"/>
      <c r="D35" s="205"/>
      <c r="E35" s="205"/>
      <c r="F35" s="205"/>
      <c r="G35" s="205"/>
      <c r="H35" s="205"/>
    </row>
  </sheetData>
  <mergeCells count="4">
    <mergeCell ref="A1:H1"/>
    <mergeCell ref="A2:H2"/>
    <mergeCell ref="A34:H34"/>
    <mergeCell ref="A35:H35"/>
  </mergeCells>
  <dataValidations count="1">
    <dataValidation type="list" allowBlank="1" showInputMessage="1" showErrorMessage="1" sqref="E7:E100" xr:uid="{8D64BA07-8B1E-4AA0-B5D3-11171548A996}">
      <formula1>$Z$1:$Z$4</formula1>
    </dataValidation>
  </dataValidation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A6699-5C94-492D-BB9C-3675C587A0A5}">
  <sheetPr>
    <tabColor rgb="FF3A414F"/>
  </sheetPr>
  <dimension ref="A1:G99"/>
  <sheetViews>
    <sheetView workbookViewId="0"/>
  </sheetViews>
  <sheetFormatPr defaultRowHeight="15"/>
  <sheetData>
    <row r="1" spans="1:7" ht="26.25">
      <c r="A1" s="74" t="s">
        <v>689</v>
      </c>
      <c r="B1" s="70"/>
      <c r="C1" s="70"/>
      <c r="D1" s="70"/>
      <c r="E1" s="70"/>
    </row>
    <row r="2" spans="1:7">
      <c r="A2" s="132" t="s">
        <v>3474</v>
      </c>
      <c r="B2" s="71"/>
      <c r="C2" s="71"/>
      <c r="D2" s="71"/>
      <c r="E2" s="71"/>
    </row>
    <row r="4" spans="1:7" ht="15.75">
      <c r="A4" s="203" t="s">
        <v>3475</v>
      </c>
      <c r="B4" s="203"/>
      <c r="C4" s="203"/>
      <c r="D4" s="203"/>
      <c r="E4" s="203"/>
    </row>
    <row r="5" spans="1:7">
      <c r="A5" s="22" t="s">
        <v>318</v>
      </c>
      <c r="B5" s="22" t="s">
        <v>2817</v>
      </c>
      <c r="C5" s="22" t="s">
        <v>28</v>
      </c>
      <c r="D5" s="22" t="s">
        <v>496</v>
      </c>
      <c r="E5" s="22" t="s">
        <v>2818</v>
      </c>
    </row>
    <row r="6" spans="1:7">
      <c r="A6" t="s">
        <v>325</v>
      </c>
      <c r="B6" t="s">
        <v>3476</v>
      </c>
      <c r="C6" t="s">
        <v>38</v>
      </c>
      <c r="D6" t="s">
        <v>3477</v>
      </c>
      <c r="E6" t="s">
        <v>3478</v>
      </c>
    </row>
    <row r="7" spans="1:7">
      <c r="A7" t="s">
        <v>3479</v>
      </c>
      <c r="B7" t="s">
        <v>3480</v>
      </c>
      <c r="C7" t="s">
        <v>3481</v>
      </c>
      <c r="D7" t="s">
        <v>3482</v>
      </c>
      <c r="E7" t="s">
        <v>3483</v>
      </c>
    </row>
    <row r="8" spans="1:7">
      <c r="A8" t="s">
        <v>2932</v>
      </c>
      <c r="B8" t="s">
        <v>3484</v>
      </c>
      <c r="C8" t="s">
        <v>3464</v>
      </c>
      <c r="D8" t="s">
        <v>3485</v>
      </c>
      <c r="E8" t="s">
        <v>3486</v>
      </c>
    </row>
    <row r="9" spans="1:7">
      <c r="A9" t="s">
        <v>2819</v>
      </c>
      <c r="B9" t="s">
        <v>3487</v>
      </c>
      <c r="C9" t="s">
        <v>470</v>
      </c>
      <c r="D9" t="s">
        <v>3488</v>
      </c>
      <c r="E9" t="s">
        <v>3489</v>
      </c>
    </row>
    <row r="10" spans="1:7">
      <c r="A10" t="s">
        <v>2822</v>
      </c>
      <c r="B10" t="s">
        <v>3490</v>
      </c>
      <c r="C10" t="s">
        <v>470</v>
      </c>
      <c r="D10" t="s">
        <v>3491</v>
      </c>
      <c r="E10" t="s">
        <v>3492</v>
      </c>
    </row>
    <row r="12" spans="1:7" ht="15.75">
      <c r="A12" s="203" t="s">
        <v>3493</v>
      </c>
      <c r="B12" s="203"/>
      <c r="C12" s="203"/>
      <c r="D12" s="203"/>
      <c r="E12" s="203"/>
      <c r="F12" s="203"/>
      <c r="G12" s="203"/>
    </row>
    <row r="13" spans="1:7">
      <c r="A13" s="22" t="s">
        <v>6</v>
      </c>
      <c r="B13" s="22" t="s">
        <v>3494</v>
      </c>
      <c r="C13" s="22" t="s">
        <v>3495</v>
      </c>
      <c r="D13" s="22" t="s">
        <v>3496</v>
      </c>
      <c r="E13" s="22" t="s">
        <v>3497</v>
      </c>
      <c r="F13" s="22" t="s">
        <v>3498</v>
      </c>
    </row>
    <row r="14" spans="1:7">
      <c r="A14" t="s">
        <v>10</v>
      </c>
      <c r="B14" s="47">
        <v>0.4</v>
      </c>
      <c r="C14" s="47">
        <v>0.25</v>
      </c>
      <c r="D14" s="47">
        <v>0.55000000000000004</v>
      </c>
      <c r="E14" t="s">
        <v>3499</v>
      </c>
      <c r="F14" t="s">
        <v>43</v>
      </c>
    </row>
    <row r="15" spans="1:7">
      <c r="A15" t="s">
        <v>18</v>
      </c>
      <c r="B15" s="47">
        <v>0.35</v>
      </c>
      <c r="C15" s="47">
        <v>0.2</v>
      </c>
      <c r="D15" s="47">
        <v>0.5</v>
      </c>
      <c r="E15" t="s">
        <v>3500</v>
      </c>
      <c r="F15" t="s">
        <v>3501</v>
      </c>
    </row>
    <row r="16" spans="1:7">
      <c r="A16" t="s">
        <v>22</v>
      </c>
      <c r="B16" s="47">
        <v>0.25</v>
      </c>
      <c r="C16" s="47">
        <v>0.1</v>
      </c>
      <c r="D16" s="47">
        <v>0.4</v>
      </c>
      <c r="E16" t="s">
        <v>3502</v>
      </c>
      <c r="F16" t="s">
        <v>3503</v>
      </c>
    </row>
    <row r="17" spans="1:7">
      <c r="A17" t="s">
        <v>3504</v>
      </c>
      <c r="B17" s="51">
        <f>SUM(B14:B16)</f>
        <v>1</v>
      </c>
      <c r="C17" s="2" t="str">
        <f>IF(ABS(B17-1)&gt;0.001,"Fix targets to 100%","OK")</f>
        <v>OK</v>
      </c>
    </row>
    <row r="19" spans="1:7">
      <c r="A19" s="215" t="s">
        <v>3505</v>
      </c>
      <c r="B19" s="215"/>
      <c r="C19" s="215"/>
      <c r="D19" s="215"/>
      <c r="E19" s="215"/>
    </row>
    <row r="20" spans="1:7">
      <c r="A20" s="22" t="s">
        <v>3368</v>
      </c>
      <c r="B20" s="22" t="s">
        <v>3506</v>
      </c>
      <c r="C20" s="22" t="s">
        <v>3507</v>
      </c>
      <c r="D20" s="22" t="s">
        <v>3508</v>
      </c>
      <c r="E20" s="22" t="s">
        <v>3509</v>
      </c>
    </row>
    <row r="21" spans="1:7">
      <c r="A21" t="s">
        <v>3510</v>
      </c>
      <c r="B21" s="3" t="s">
        <v>3511</v>
      </c>
      <c r="C21" t="s">
        <v>193</v>
      </c>
      <c r="D21" t="s">
        <v>3512</v>
      </c>
      <c r="E21" t="s">
        <v>503</v>
      </c>
    </row>
    <row r="22" spans="1:7">
      <c r="A22" t="s">
        <v>3513</v>
      </c>
      <c r="B22" s="3" t="s">
        <v>3514</v>
      </c>
      <c r="C22" t="s">
        <v>38</v>
      </c>
      <c r="D22" t="s">
        <v>3515</v>
      </c>
      <c r="E22" t="s">
        <v>3516</v>
      </c>
    </row>
    <row r="23" spans="1:7">
      <c r="A23" t="s">
        <v>3517</v>
      </c>
      <c r="B23" s="3" t="s">
        <v>3518</v>
      </c>
      <c r="C23" t="s">
        <v>3519</v>
      </c>
      <c r="D23" t="s">
        <v>3520</v>
      </c>
      <c r="E23" t="s">
        <v>3521</v>
      </c>
    </row>
    <row r="24" spans="1:7">
      <c r="A24" t="s">
        <v>3522</v>
      </c>
      <c r="B24" s="3" t="s">
        <v>3523</v>
      </c>
      <c r="C24" t="s">
        <v>470</v>
      </c>
      <c r="D24" t="s">
        <v>3524</v>
      </c>
      <c r="E24" t="s">
        <v>3525</v>
      </c>
    </row>
    <row r="25" spans="1:7" ht="15.75">
      <c r="A25" s="203" t="s">
        <v>3526</v>
      </c>
      <c r="B25" s="203"/>
      <c r="C25" s="203"/>
      <c r="D25" s="203"/>
      <c r="E25" s="203"/>
    </row>
    <row r="26" spans="1:7">
      <c r="A26" s="242" t="s">
        <v>3527</v>
      </c>
      <c r="B26" s="242"/>
      <c r="C26" s="242"/>
      <c r="D26" s="242"/>
      <c r="E26" s="242"/>
      <c r="F26" s="242"/>
      <c r="G26" s="242"/>
    </row>
    <row r="27" spans="1:7">
      <c r="A27" t="s">
        <v>3528</v>
      </c>
      <c r="B27" t="s">
        <v>3529</v>
      </c>
      <c r="C27" t="s">
        <v>3530</v>
      </c>
      <c r="D27" s="3" t="s">
        <v>3531</v>
      </c>
      <c r="E27" t="s">
        <v>2585</v>
      </c>
    </row>
    <row r="28" spans="1:7" ht="15.75">
      <c r="A28" s="39" t="s">
        <v>3532</v>
      </c>
      <c r="B28" s="39"/>
      <c r="C28" s="39"/>
      <c r="D28" s="39"/>
      <c r="E28" s="39"/>
      <c r="F28" s="39"/>
      <c r="G28" s="39"/>
    </row>
    <row r="29" spans="1:7">
      <c r="A29" s="22" t="s">
        <v>2460</v>
      </c>
      <c r="B29" s="22" t="s">
        <v>28</v>
      </c>
      <c r="C29" s="22" t="s">
        <v>3533</v>
      </c>
      <c r="D29" s="22" t="s">
        <v>3534</v>
      </c>
      <c r="E29" s="22" t="s">
        <v>3535</v>
      </c>
      <c r="F29" s="22" t="s">
        <v>3536</v>
      </c>
      <c r="G29" s="22" t="s">
        <v>3537</v>
      </c>
    </row>
    <row r="30" spans="1:7">
      <c r="A30" t="s">
        <v>3528</v>
      </c>
      <c r="B30" t="s">
        <v>2585</v>
      </c>
      <c r="C30" t="s">
        <v>3538</v>
      </c>
      <c r="D30" s="3" t="s">
        <v>3539</v>
      </c>
      <c r="E30" t="s">
        <v>3540</v>
      </c>
      <c r="F30" t="s">
        <v>3541</v>
      </c>
      <c r="G30" t="s">
        <v>3542</v>
      </c>
    </row>
    <row r="31" spans="1:7">
      <c r="A31" t="s">
        <v>1323</v>
      </c>
      <c r="B31" t="s">
        <v>1325</v>
      </c>
      <c r="C31" t="s">
        <v>3538</v>
      </c>
      <c r="D31" s="3" t="s">
        <v>3543</v>
      </c>
      <c r="E31" t="s">
        <v>3544</v>
      </c>
      <c r="F31" t="s">
        <v>3545</v>
      </c>
      <c r="G31" t="s">
        <v>3546</v>
      </c>
    </row>
    <row r="32" spans="1:7">
      <c r="A32" t="s">
        <v>2482</v>
      </c>
      <c r="B32" t="s">
        <v>3291</v>
      </c>
      <c r="C32" t="s">
        <v>3547</v>
      </c>
      <c r="D32" t="s">
        <v>3548</v>
      </c>
      <c r="E32" t="s">
        <v>3549</v>
      </c>
      <c r="F32" t="s">
        <v>3550</v>
      </c>
      <c r="G32" t="s">
        <v>52</v>
      </c>
    </row>
    <row r="33" spans="1:7" ht="15.75">
      <c r="A33" s="39" t="s">
        <v>3551</v>
      </c>
      <c r="B33" s="39" t="s">
        <v>3265</v>
      </c>
      <c r="C33" s="39" t="s">
        <v>3538</v>
      </c>
      <c r="D33" s="39" t="s">
        <v>3552</v>
      </c>
      <c r="E33" t="s">
        <v>3553</v>
      </c>
      <c r="F33" t="s">
        <v>2920</v>
      </c>
      <c r="G33" t="s">
        <v>3554</v>
      </c>
    </row>
    <row r="34" spans="1:7">
      <c r="A34" s="22" t="s">
        <v>3555</v>
      </c>
      <c r="B34" s="22" t="s">
        <v>3241</v>
      </c>
      <c r="C34" s="22" t="s">
        <v>3538</v>
      </c>
      <c r="D34" s="22" t="s">
        <v>3556</v>
      </c>
      <c r="E34" t="s">
        <v>3557</v>
      </c>
      <c r="F34" t="s">
        <v>2916</v>
      </c>
      <c r="G34" t="s">
        <v>3558</v>
      </c>
    </row>
    <row r="35" spans="1:7">
      <c r="A35" t="s">
        <v>3559</v>
      </c>
      <c r="B35" t="s">
        <v>3519</v>
      </c>
      <c r="C35" t="s">
        <v>3560</v>
      </c>
      <c r="D35" t="s">
        <v>3561</v>
      </c>
    </row>
    <row r="36" spans="1:7">
      <c r="A36" s="225" t="s">
        <v>3562</v>
      </c>
      <c r="B36" s="225"/>
      <c r="C36" s="225"/>
      <c r="D36" s="225"/>
      <c r="E36" s="225"/>
      <c r="F36" s="225"/>
      <c r="G36" s="225"/>
    </row>
    <row r="37" spans="1:7">
      <c r="A37" t="s">
        <v>3563</v>
      </c>
      <c r="B37" t="s">
        <v>470</v>
      </c>
      <c r="C37" t="s">
        <v>3501</v>
      </c>
      <c r="D37" t="s">
        <v>3564</v>
      </c>
    </row>
    <row r="38" spans="1:7" ht="15.75">
      <c r="A38" s="39" t="s">
        <v>3565</v>
      </c>
      <c r="B38" s="39"/>
      <c r="C38" s="39"/>
      <c r="D38" s="39"/>
      <c r="E38" s="39"/>
    </row>
    <row r="39" spans="1:7">
      <c r="A39" s="22" t="s">
        <v>2535</v>
      </c>
      <c r="B39" s="22" t="s">
        <v>470</v>
      </c>
      <c r="C39" s="22" t="s">
        <v>43</v>
      </c>
      <c r="D39" s="22" t="s">
        <v>3566</v>
      </c>
      <c r="E39" s="22" t="s">
        <v>3567</v>
      </c>
    </row>
    <row r="40" spans="1:7">
      <c r="A40" t="s">
        <v>3568</v>
      </c>
      <c r="B40" t="s">
        <v>3569</v>
      </c>
      <c r="C40" t="s">
        <v>3570</v>
      </c>
      <c r="D40" t="s">
        <v>3571</v>
      </c>
      <c r="E40" t="s">
        <v>3492</v>
      </c>
    </row>
    <row r="41" spans="1:7" ht="15.75">
      <c r="A41" s="39" t="s">
        <v>3572</v>
      </c>
      <c r="B41" s="39" t="s">
        <v>3569</v>
      </c>
      <c r="C41" s="39" t="s">
        <v>3573</v>
      </c>
      <c r="D41" t="s">
        <v>3574</v>
      </c>
      <c r="E41" t="s">
        <v>3525</v>
      </c>
    </row>
    <row r="42" spans="1:7">
      <c r="A42" s="22" t="s">
        <v>3575</v>
      </c>
      <c r="B42" s="22" t="s">
        <v>3576</v>
      </c>
      <c r="C42" s="22" t="s">
        <v>3577</v>
      </c>
      <c r="D42" t="s">
        <v>3578</v>
      </c>
      <c r="E42" t="s">
        <v>3579</v>
      </c>
    </row>
    <row r="43" spans="1:7">
      <c r="A43" t="s">
        <v>3580</v>
      </c>
      <c r="B43" t="s">
        <v>3581</v>
      </c>
      <c r="C43" s="3" t="s">
        <v>3582</v>
      </c>
      <c r="D43" t="s">
        <v>3583</v>
      </c>
      <c r="E43" t="s">
        <v>3584</v>
      </c>
    </row>
    <row r="44" spans="1:7">
      <c r="A44" t="s">
        <v>3585</v>
      </c>
      <c r="B44" t="s">
        <v>3586</v>
      </c>
      <c r="C44" s="3" t="s">
        <v>3587</v>
      </c>
      <c r="D44" t="s">
        <v>3588</v>
      </c>
      <c r="E44" t="s">
        <v>3589</v>
      </c>
    </row>
    <row r="45" spans="1:7">
      <c r="A45" t="s">
        <v>3590</v>
      </c>
      <c r="B45" t="s">
        <v>3569</v>
      </c>
      <c r="C45" s="3" t="s">
        <v>3570</v>
      </c>
      <c r="D45" t="s">
        <v>3570</v>
      </c>
      <c r="E45" t="s">
        <v>3591</v>
      </c>
    </row>
    <row r="46" spans="1:7">
      <c r="A46" t="s">
        <v>3592</v>
      </c>
      <c r="B46" t="s">
        <v>3569</v>
      </c>
      <c r="C46" s="3" t="s">
        <v>3570</v>
      </c>
      <c r="D46" t="s">
        <v>3581</v>
      </c>
      <c r="E46" t="s">
        <v>3593</v>
      </c>
    </row>
    <row r="47" spans="1:7">
      <c r="A47" t="s">
        <v>3594</v>
      </c>
      <c r="B47" t="s">
        <v>1352</v>
      </c>
      <c r="C47" s="3" t="s">
        <v>3595</v>
      </c>
    </row>
    <row r="48" spans="1:7">
      <c r="A48" s="225" t="s">
        <v>3596</v>
      </c>
      <c r="B48" s="225"/>
      <c r="C48" s="225"/>
      <c r="D48" s="225"/>
      <c r="E48" s="225"/>
    </row>
    <row r="49" spans="1:5" ht="15.75">
      <c r="A49" s="203" t="s">
        <v>3597</v>
      </c>
      <c r="B49" s="203"/>
      <c r="C49" s="203"/>
      <c r="D49" s="203"/>
    </row>
    <row r="50" spans="1:5" ht="15.75">
      <c r="A50" s="39" t="s">
        <v>3598</v>
      </c>
      <c r="B50" s="39"/>
      <c r="C50" s="39"/>
      <c r="D50" s="39"/>
      <c r="E50" s="39"/>
    </row>
    <row r="51" spans="1:5">
      <c r="A51" s="22" t="s">
        <v>3599</v>
      </c>
      <c r="B51" s="22" t="s">
        <v>2437</v>
      </c>
      <c r="C51" s="22" t="s">
        <v>318</v>
      </c>
      <c r="D51" s="22" t="s">
        <v>3600</v>
      </c>
      <c r="E51" s="22" t="s">
        <v>3601</v>
      </c>
    </row>
    <row r="52" spans="1:5">
      <c r="A52" t="s">
        <v>3602</v>
      </c>
      <c r="B52" t="s">
        <v>43</v>
      </c>
      <c r="C52" t="s">
        <v>325</v>
      </c>
      <c r="D52" s="3" t="s">
        <v>48</v>
      </c>
      <c r="E52" t="s">
        <v>3603</v>
      </c>
    </row>
    <row r="53" spans="1:5">
      <c r="A53" t="s">
        <v>3604</v>
      </c>
      <c r="B53" t="s">
        <v>3481</v>
      </c>
      <c r="C53" t="s">
        <v>3479</v>
      </c>
      <c r="D53" s="3" t="s">
        <v>3605</v>
      </c>
      <c r="E53" t="s">
        <v>38</v>
      </c>
    </row>
    <row r="54" spans="1:5">
      <c r="A54" t="s">
        <v>3606</v>
      </c>
      <c r="B54" t="s">
        <v>43</v>
      </c>
      <c r="C54" t="s">
        <v>2932</v>
      </c>
      <c r="D54" t="s">
        <v>3607</v>
      </c>
      <c r="E54" t="s">
        <v>33</v>
      </c>
    </row>
    <row r="55" spans="1:5" ht="15.75">
      <c r="A55" s="39" t="s">
        <v>3608</v>
      </c>
      <c r="B55" s="39" t="s">
        <v>3464</v>
      </c>
      <c r="C55" s="39" t="s">
        <v>2932</v>
      </c>
      <c r="D55" s="39" t="s">
        <v>3609</v>
      </c>
      <c r="E55" t="s">
        <v>52</v>
      </c>
    </row>
    <row r="56" spans="1:5">
      <c r="A56" s="204" t="s">
        <v>3610</v>
      </c>
      <c r="B56" s="204"/>
      <c r="C56" s="204"/>
      <c r="D56" s="204"/>
      <c r="E56" t="s">
        <v>3611</v>
      </c>
    </row>
    <row r="57" spans="1:5">
      <c r="A57" s="204" t="s">
        <v>3612</v>
      </c>
      <c r="B57" s="204"/>
      <c r="C57" s="204"/>
      <c r="D57" s="204"/>
      <c r="E57" t="s">
        <v>2585</v>
      </c>
    </row>
    <row r="58" spans="1:5">
      <c r="A58" s="204" t="s">
        <v>3613</v>
      </c>
      <c r="B58" s="204"/>
      <c r="C58" s="204"/>
      <c r="D58" s="204"/>
      <c r="E58" t="s">
        <v>3614</v>
      </c>
    </row>
    <row r="59" spans="1:5">
      <c r="A59" s="204" t="s">
        <v>3615</v>
      </c>
      <c r="B59" s="204"/>
      <c r="C59" s="204"/>
      <c r="D59" s="204"/>
    </row>
    <row r="60" spans="1:5" ht="15.75">
      <c r="A60" s="203" t="s">
        <v>3616</v>
      </c>
      <c r="B60" s="203"/>
      <c r="C60" s="203"/>
      <c r="D60" s="203"/>
    </row>
    <row r="61" spans="1:5">
      <c r="A61" s="242" t="s">
        <v>3617</v>
      </c>
      <c r="B61" s="242"/>
      <c r="C61" s="242"/>
      <c r="D61" s="242"/>
      <c r="E61" s="205"/>
    </row>
    <row r="62" spans="1:5">
      <c r="A62" t="s">
        <v>3618</v>
      </c>
      <c r="B62" t="s">
        <v>3619</v>
      </c>
      <c r="C62" t="s">
        <v>3501</v>
      </c>
      <c r="D62" t="s">
        <v>3620</v>
      </c>
    </row>
    <row r="63" spans="1:5">
      <c r="A63" t="s">
        <v>2952</v>
      </c>
      <c r="B63" t="s">
        <v>3621</v>
      </c>
      <c r="C63" t="s">
        <v>470</v>
      </c>
      <c r="D63" t="s">
        <v>3622</v>
      </c>
    </row>
    <row r="64" spans="1:5">
      <c r="A64" t="s">
        <v>3623</v>
      </c>
      <c r="B64" t="s">
        <v>3624</v>
      </c>
      <c r="C64" t="s">
        <v>3625</v>
      </c>
      <c r="D64" t="s">
        <v>3626</v>
      </c>
    </row>
    <row r="65" spans="1:6">
      <c r="A65" t="s">
        <v>3627</v>
      </c>
      <c r="B65" t="s">
        <v>3628</v>
      </c>
      <c r="C65" t="s">
        <v>3501</v>
      </c>
      <c r="D65" t="s">
        <v>3629</v>
      </c>
    </row>
    <row r="66" spans="1:6">
      <c r="A66" t="s">
        <v>3630</v>
      </c>
      <c r="B66" t="s">
        <v>3631</v>
      </c>
      <c r="C66" t="s">
        <v>3632</v>
      </c>
      <c r="D66" t="s">
        <v>3633</v>
      </c>
    </row>
    <row r="67" spans="1:6">
      <c r="A67" t="s">
        <v>3634</v>
      </c>
      <c r="B67" t="s">
        <v>3635</v>
      </c>
      <c r="C67" t="s">
        <v>1352</v>
      </c>
      <c r="D67" t="s">
        <v>3636</v>
      </c>
    </row>
    <row r="69" spans="1:6" ht="15.75">
      <c r="A69" s="203" t="s">
        <v>3637</v>
      </c>
      <c r="B69" s="203"/>
      <c r="C69" s="203"/>
      <c r="D69" s="203"/>
      <c r="E69" s="203"/>
      <c r="F69" s="203"/>
    </row>
    <row r="70" spans="1:6">
      <c r="A70" s="22" t="s">
        <v>2629</v>
      </c>
      <c r="B70" s="22" t="s">
        <v>318</v>
      </c>
      <c r="C70" s="22" t="s">
        <v>28</v>
      </c>
      <c r="D70" s="22" t="s">
        <v>3638</v>
      </c>
      <c r="E70" s="22" t="s">
        <v>3639</v>
      </c>
      <c r="F70" s="22" t="s">
        <v>3640</v>
      </c>
    </row>
    <row r="71" spans="1:6">
      <c r="A71" t="s">
        <v>3641</v>
      </c>
      <c r="B71" t="s">
        <v>2822</v>
      </c>
      <c r="C71" t="s">
        <v>3642</v>
      </c>
      <c r="D71" s="3" t="s">
        <v>3643</v>
      </c>
      <c r="E71" s="3"/>
      <c r="F71" s="3"/>
    </row>
    <row r="72" spans="1:6">
      <c r="A72" t="s">
        <v>3644</v>
      </c>
      <c r="B72" t="s">
        <v>3645</v>
      </c>
      <c r="C72" t="s">
        <v>601</v>
      </c>
      <c r="D72" s="3" t="s">
        <v>3646</v>
      </c>
      <c r="E72" s="3"/>
      <c r="F72" s="3"/>
    </row>
    <row r="73" spans="1:6">
      <c r="A73" t="s">
        <v>3647</v>
      </c>
      <c r="B73" t="s">
        <v>2822</v>
      </c>
      <c r="C73" t="s">
        <v>3648</v>
      </c>
      <c r="D73" s="3" t="s">
        <v>3649</v>
      </c>
      <c r="E73" s="3"/>
      <c r="F73" s="3"/>
    </row>
    <row r="74" spans="1:6">
      <c r="A74" t="s">
        <v>3650</v>
      </c>
      <c r="B74" t="s">
        <v>3651</v>
      </c>
      <c r="C74" t="s">
        <v>3464</v>
      </c>
      <c r="D74" s="3" t="s">
        <v>3652</v>
      </c>
      <c r="E74" s="3"/>
      <c r="F74" s="3"/>
    </row>
    <row r="75" spans="1:6">
      <c r="A75" t="s">
        <v>3653</v>
      </c>
      <c r="B75" t="s">
        <v>2822</v>
      </c>
      <c r="C75" t="s">
        <v>470</v>
      </c>
      <c r="D75" s="3" t="s">
        <v>3306</v>
      </c>
      <c r="E75" s="3"/>
      <c r="F75" s="3"/>
    </row>
    <row r="76" spans="1:6">
      <c r="A76" t="s">
        <v>3654</v>
      </c>
      <c r="B76" t="s">
        <v>3228</v>
      </c>
      <c r="C76" t="s">
        <v>3265</v>
      </c>
      <c r="D76" s="3" t="s">
        <v>3655</v>
      </c>
      <c r="E76" s="3"/>
      <c r="F76" s="3"/>
    </row>
    <row r="77" spans="1:6">
      <c r="A77" t="s">
        <v>3656</v>
      </c>
      <c r="B77" t="s">
        <v>3657</v>
      </c>
      <c r="C77" t="s">
        <v>52</v>
      </c>
      <c r="D77" s="3" t="s">
        <v>3658</v>
      </c>
      <c r="E77" s="3"/>
      <c r="F77" s="3"/>
    </row>
    <row r="78" spans="1:6">
      <c r="A78" t="s">
        <v>3659</v>
      </c>
      <c r="B78" t="s">
        <v>2819</v>
      </c>
      <c r="C78" t="s">
        <v>470</v>
      </c>
      <c r="D78" s="3" t="s">
        <v>3660</v>
      </c>
      <c r="E78" s="3"/>
      <c r="F78" s="3"/>
    </row>
    <row r="80" spans="1:6" ht="15.75">
      <c r="A80" s="203" t="s">
        <v>3661</v>
      </c>
      <c r="B80" s="203"/>
      <c r="C80" s="203"/>
      <c r="D80" s="203"/>
      <c r="E80" s="203"/>
      <c r="F80" s="203"/>
    </row>
    <row r="81" spans="1:6">
      <c r="A81" s="204" t="s">
        <v>3662</v>
      </c>
      <c r="B81" s="204"/>
      <c r="C81" s="204"/>
      <c r="D81" s="204"/>
      <c r="E81" s="204"/>
      <c r="F81" s="204"/>
    </row>
    <row r="82" spans="1:6">
      <c r="A82" s="204" t="s">
        <v>3663</v>
      </c>
      <c r="B82" s="204"/>
      <c r="C82" s="204"/>
      <c r="D82" s="204"/>
      <c r="E82" s="204"/>
      <c r="F82" s="204"/>
    </row>
    <row r="83" spans="1:6">
      <c r="A83" s="204" t="s">
        <v>3664</v>
      </c>
      <c r="B83" s="204"/>
      <c r="C83" s="204"/>
      <c r="D83" s="204"/>
      <c r="E83" s="204"/>
      <c r="F83" s="204"/>
    </row>
    <row r="84" spans="1:6">
      <c r="A84" s="204" t="s">
        <v>3665</v>
      </c>
      <c r="B84" s="204"/>
      <c r="C84" s="204"/>
      <c r="D84" s="204"/>
      <c r="E84" s="204"/>
      <c r="F84" s="204"/>
    </row>
    <row r="85" spans="1:6">
      <c r="A85" s="204" t="s">
        <v>3666</v>
      </c>
      <c r="B85" s="204"/>
      <c r="C85" s="204"/>
      <c r="D85" s="204"/>
      <c r="E85" s="204"/>
      <c r="F85" s="204"/>
    </row>
    <row r="87" spans="1:6" ht="15.75">
      <c r="A87" s="203" t="s">
        <v>412</v>
      </c>
      <c r="B87" s="203"/>
      <c r="C87" s="203"/>
      <c r="D87" s="203"/>
      <c r="E87" s="203"/>
      <c r="F87" s="203"/>
    </row>
    <row r="88" spans="1:6">
      <c r="A88" s="204" t="s">
        <v>3667</v>
      </c>
      <c r="B88" s="204"/>
      <c r="C88" s="204"/>
      <c r="D88" s="204"/>
      <c r="E88" s="204"/>
      <c r="F88" s="204"/>
    </row>
    <row r="89" spans="1:6">
      <c r="A89" s="204" t="s">
        <v>3668</v>
      </c>
      <c r="B89" s="204"/>
      <c r="C89" s="204"/>
      <c r="D89" s="204"/>
      <c r="E89" s="204"/>
      <c r="F89" s="204"/>
    </row>
    <row r="90" spans="1:6">
      <c r="A90" s="204" t="s">
        <v>3669</v>
      </c>
      <c r="B90" s="204"/>
      <c r="C90" s="204"/>
      <c r="D90" s="204"/>
      <c r="E90" s="204"/>
      <c r="F90" s="204"/>
    </row>
    <row r="92" spans="1:6" ht="15.75">
      <c r="A92" s="203" t="s">
        <v>3670</v>
      </c>
      <c r="B92" s="203"/>
      <c r="C92" s="203"/>
      <c r="D92" s="203"/>
    </row>
    <row r="93" spans="1:6">
      <c r="A93" s="22" t="s">
        <v>2695</v>
      </c>
      <c r="B93" s="22" t="s">
        <v>3170</v>
      </c>
      <c r="C93" s="22" t="s">
        <v>28</v>
      </c>
      <c r="D93" s="22" t="s">
        <v>3671</v>
      </c>
    </row>
    <row r="94" spans="1:6">
      <c r="A94" t="s">
        <v>3672</v>
      </c>
      <c r="B94" t="s">
        <v>325</v>
      </c>
      <c r="C94" t="s">
        <v>2585</v>
      </c>
      <c r="D94" t="s">
        <v>3673</v>
      </c>
    </row>
    <row r="95" spans="1:6">
      <c r="A95" t="s">
        <v>3674</v>
      </c>
      <c r="B95" t="s">
        <v>325</v>
      </c>
      <c r="C95" t="s">
        <v>3675</v>
      </c>
      <c r="D95" t="s">
        <v>3676</v>
      </c>
    </row>
    <row r="96" spans="1:6">
      <c r="A96" t="s">
        <v>3677</v>
      </c>
      <c r="B96" t="s">
        <v>2932</v>
      </c>
      <c r="C96" t="s">
        <v>601</v>
      </c>
      <c r="D96" t="s">
        <v>3678</v>
      </c>
    </row>
    <row r="97" spans="1:4">
      <c r="A97" t="s">
        <v>3679</v>
      </c>
      <c r="B97" t="s">
        <v>2819</v>
      </c>
      <c r="C97" t="s">
        <v>3680</v>
      </c>
      <c r="D97" t="s">
        <v>3681</v>
      </c>
    </row>
    <row r="99" spans="1:4">
      <c r="A99" s="205" t="s">
        <v>3682</v>
      </c>
      <c r="B99" s="205"/>
      <c r="C99" s="205"/>
      <c r="D99" s="205"/>
    </row>
  </sheetData>
  <mergeCells count="29">
    <mergeCell ref="A92:D92"/>
    <mergeCell ref="A99:D99"/>
    <mergeCell ref="A84:F84"/>
    <mergeCell ref="A85:F85"/>
    <mergeCell ref="A87:F87"/>
    <mergeCell ref="A88:F88"/>
    <mergeCell ref="A89:F89"/>
    <mergeCell ref="A90:F90"/>
    <mergeCell ref="A60:D60"/>
    <mergeCell ref="A69:F69"/>
    <mergeCell ref="A80:F80"/>
    <mergeCell ref="A81:F81"/>
    <mergeCell ref="A82:F82"/>
    <mergeCell ref="A83:F83"/>
    <mergeCell ref="A58:D58"/>
    <mergeCell ref="A59:D59"/>
    <mergeCell ref="A61:E61"/>
    <mergeCell ref="A12:G12"/>
    <mergeCell ref="A19:E19"/>
    <mergeCell ref="A26:G26"/>
    <mergeCell ref="A36:G36"/>
    <mergeCell ref="A48:E48"/>
    <mergeCell ref="A49:D49"/>
    <mergeCell ref="A56:D56"/>
    <mergeCell ref="A57:D57"/>
    <mergeCell ref="A1:E1"/>
    <mergeCell ref="A2:E2"/>
    <mergeCell ref="A4:E4"/>
    <mergeCell ref="A25:E25"/>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84EC4-362F-4229-A192-9F9F3E35FCD2}">
  <sheetPr>
    <tabColor rgb="FF6C7470"/>
  </sheetPr>
  <dimension ref="A1:E55"/>
  <sheetViews>
    <sheetView workbookViewId="0"/>
  </sheetViews>
  <sheetFormatPr defaultRowHeight="15"/>
  <sheetData>
    <row r="1" spans="1:5" ht="21">
      <c r="A1" s="193" t="s">
        <v>3683</v>
      </c>
      <c r="B1" s="82"/>
      <c r="C1" s="82"/>
      <c r="D1" s="82"/>
      <c r="E1" s="82"/>
    </row>
    <row r="2" spans="1:5">
      <c r="A2" s="207" t="s">
        <v>3684</v>
      </c>
      <c r="B2" s="205"/>
      <c r="C2" s="205"/>
      <c r="D2" s="205"/>
      <c r="E2" s="205"/>
    </row>
    <row r="4" spans="1:5">
      <c r="A4" s="233" t="s">
        <v>3685</v>
      </c>
      <c r="B4" s="233"/>
      <c r="C4" s="233"/>
    </row>
    <row r="5" spans="1:5">
      <c r="A5" s="22" t="s">
        <v>3686</v>
      </c>
      <c r="B5" s="22" t="s">
        <v>3687</v>
      </c>
      <c r="C5" s="22" t="s">
        <v>3688</v>
      </c>
    </row>
    <row r="6" spans="1:5">
      <c r="A6" t="s">
        <v>3689</v>
      </c>
      <c r="B6" t="s">
        <v>3690</v>
      </c>
      <c r="C6" t="s">
        <v>3691</v>
      </c>
    </row>
    <row r="7" spans="1:5">
      <c r="A7" t="s">
        <v>3692</v>
      </c>
      <c r="B7" t="s">
        <v>3693</v>
      </c>
      <c r="C7" t="s">
        <v>43</v>
      </c>
    </row>
    <row r="8" spans="1:5">
      <c r="A8" t="s">
        <v>3694</v>
      </c>
      <c r="B8" t="s">
        <v>3695</v>
      </c>
      <c r="C8" t="s">
        <v>3696</v>
      </c>
    </row>
    <row r="9" spans="1:5">
      <c r="A9" t="s">
        <v>3697</v>
      </c>
      <c r="B9" t="s">
        <v>3698</v>
      </c>
      <c r="C9" t="s">
        <v>3699</v>
      </c>
    </row>
    <row r="10" spans="1:5">
      <c r="A10" t="s">
        <v>3700</v>
      </c>
      <c r="B10" t="s">
        <v>3701</v>
      </c>
      <c r="C10" t="s">
        <v>3702</v>
      </c>
    </row>
    <row r="11" spans="1:5">
      <c r="A11" t="s">
        <v>3703</v>
      </c>
      <c r="B11" t="s">
        <v>3704</v>
      </c>
      <c r="C11" t="s">
        <v>3705</v>
      </c>
    </row>
    <row r="12" spans="1:5">
      <c r="A12" t="s">
        <v>3706</v>
      </c>
      <c r="B12" t="s">
        <v>3707</v>
      </c>
      <c r="C12" t="s">
        <v>3708</v>
      </c>
    </row>
    <row r="13" spans="1:5">
      <c r="A13" t="s">
        <v>3709</v>
      </c>
      <c r="B13" t="s">
        <v>3710</v>
      </c>
      <c r="C13" t="s">
        <v>3711</v>
      </c>
    </row>
    <row r="14" spans="1:5">
      <c r="A14" t="s">
        <v>3712</v>
      </c>
      <c r="B14" t="s">
        <v>3713</v>
      </c>
      <c r="C14" t="s">
        <v>3714</v>
      </c>
    </row>
    <row r="15" spans="1:5">
      <c r="A15" t="s">
        <v>3715</v>
      </c>
      <c r="B15" t="s">
        <v>3716</v>
      </c>
      <c r="C15" t="s">
        <v>3717</v>
      </c>
    </row>
    <row r="17" spans="1:5">
      <c r="A17" s="233" t="s">
        <v>3718</v>
      </c>
      <c r="B17" s="233"/>
      <c r="C17" s="233"/>
      <c r="D17" s="233"/>
      <c r="E17" s="233"/>
    </row>
    <row r="18" spans="1:5">
      <c r="A18" s="22" t="s">
        <v>3719</v>
      </c>
      <c r="B18" s="22" t="s">
        <v>3720</v>
      </c>
      <c r="C18" s="22" t="s">
        <v>3369</v>
      </c>
      <c r="D18" s="22" t="s">
        <v>3721</v>
      </c>
      <c r="E18" s="22" t="s">
        <v>3722</v>
      </c>
    </row>
    <row r="19" spans="1:5">
      <c r="A19" t="s">
        <v>3723</v>
      </c>
      <c r="B19" t="s">
        <v>3724</v>
      </c>
      <c r="C19" t="s">
        <v>3725</v>
      </c>
      <c r="D19" t="s">
        <v>3726</v>
      </c>
      <c r="E19" t="s">
        <v>3727</v>
      </c>
    </row>
    <row r="20" spans="1:5">
      <c r="A20" t="s">
        <v>3728</v>
      </c>
      <c r="B20" t="s">
        <v>3729</v>
      </c>
      <c r="C20" t="s">
        <v>3730</v>
      </c>
      <c r="D20" t="s">
        <v>3731</v>
      </c>
      <c r="E20" t="s">
        <v>3732</v>
      </c>
    </row>
    <row r="21" spans="1:5">
      <c r="A21" t="s">
        <v>3733</v>
      </c>
      <c r="B21" t="s">
        <v>3734</v>
      </c>
      <c r="C21" t="s">
        <v>1654</v>
      </c>
      <c r="D21" t="s">
        <v>3735</v>
      </c>
      <c r="E21" t="s">
        <v>3736</v>
      </c>
    </row>
    <row r="22" spans="1:5">
      <c r="A22" t="s">
        <v>3737</v>
      </c>
      <c r="B22" t="s">
        <v>3738</v>
      </c>
      <c r="C22" t="s">
        <v>3739</v>
      </c>
      <c r="D22" t="s">
        <v>3731</v>
      </c>
      <c r="E22" t="s">
        <v>3740</v>
      </c>
    </row>
    <row r="23" spans="1:5">
      <c r="A23" t="s">
        <v>857</v>
      </c>
      <c r="B23" t="s">
        <v>3741</v>
      </c>
      <c r="C23" t="s">
        <v>3742</v>
      </c>
      <c r="D23" t="s">
        <v>3743</v>
      </c>
      <c r="E23" t="s">
        <v>857</v>
      </c>
    </row>
    <row r="24" spans="1:5">
      <c r="A24" t="s">
        <v>3744</v>
      </c>
      <c r="B24" t="s">
        <v>3745</v>
      </c>
      <c r="C24" t="s">
        <v>3746</v>
      </c>
      <c r="D24" t="s">
        <v>3747</v>
      </c>
      <c r="E24" t="s">
        <v>3748</v>
      </c>
    </row>
    <row r="25" spans="1:5">
      <c r="A25" t="s">
        <v>3749</v>
      </c>
      <c r="B25" t="s">
        <v>3750</v>
      </c>
      <c r="C25" t="s">
        <v>3751</v>
      </c>
      <c r="D25" t="s">
        <v>3752</v>
      </c>
      <c r="E25" t="s">
        <v>3751</v>
      </c>
    </row>
    <row r="27" spans="1:5">
      <c r="A27" s="233" t="s">
        <v>3753</v>
      </c>
      <c r="B27" s="233"/>
      <c r="C27" s="233"/>
    </row>
    <row r="28" spans="1:5">
      <c r="A28" s="22" t="s">
        <v>3754</v>
      </c>
      <c r="B28" s="22" t="s">
        <v>337</v>
      </c>
      <c r="C28" s="22" t="s">
        <v>3755</v>
      </c>
    </row>
    <row r="29" spans="1:5">
      <c r="A29" t="s">
        <v>3756</v>
      </c>
      <c r="B29" t="s">
        <v>500</v>
      </c>
      <c r="C29" t="s">
        <v>970</v>
      </c>
    </row>
    <row r="30" spans="1:5">
      <c r="A30" t="s">
        <v>3757</v>
      </c>
      <c r="B30" t="s">
        <v>500</v>
      </c>
      <c r="C30" t="s">
        <v>971</v>
      </c>
    </row>
    <row r="31" spans="1:5">
      <c r="A31" t="s">
        <v>3758</v>
      </c>
      <c r="B31" t="s">
        <v>3759</v>
      </c>
      <c r="C31">
        <v>4000</v>
      </c>
    </row>
    <row r="32" spans="1:5">
      <c r="A32" t="s">
        <v>3760</v>
      </c>
      <c r="B32" t="s">
        <v>3761</v>
      </c>
      <c r="C32">
        <v>45</v>
      </c>
    </row>
    <row r="33" spans="1:4">
      <c r="A33" t="s">
        <v>3762</v>
      </c>
      <c r="B33" t="s">
        <v>3759</v>
      </c>
      <c r="C33" t="s">
        <v>1591</v>
      </c>
    </row>
    <row r="34" spans="1:4">
      <c r="A34" t="s">
        <v>3763</v>
      </c>
      <c r="B34" t="s">
        <v>3764</v>
      </c>
      <c r="C34" t="s">
        <v>3765</v>
      </c>
    </row>
    <row r="35" spans="1:4">
      <c r="A35" t="s">
        <v>3766</v>
      </c>
      <c r="B35" t="s">
        <v>3767</v>
      </c>
      <c r="C35" t="s">
        <v>3768</v>
      </c>
    </row>
    <row r="36" spans="1:4">
      <c r="A36" t="s">
        <v>3769</v>
      </c>
      <c r="B36" t="s">
        <v>963</v>
      </c>
      <c r="C36" t="s">
        <v>965</v>
      </c>
    </row>
    <row r="37" spans="1:4">
      <c r="A37" t="s">
        <v>3770</v>
      </c>
      <c r="B37" t="s">
        <v>3771</v>
      </c>
      <c r="C37" s="99">
        <v>46103</v>
      </c>
    </row>
    <row r="38" spans="1:4">
      <c r="A38" t="s">
        <v>3772</v>
      </c>
      <c r="B38" t="s">
        <v>3773</v>
      </c>
      <c r="C38" t="s">
        <v>3774</v>
      </c>
    </row>
    <row r="40" spans="1:4">
      <c r="A40" s="233" t="s">
        <v>3775</v>
      </c>
      <c r="B40" s="233"/>
      <c r="C40" s="233"/>
      <c r="D40" s="233"/>
    </row>
    <row r="41" spans="1:4">
      <c r="A41" s="22" t="s">
        <v>213</v>
      </c>
      <c r="B41" s="22" t="s">
        <v>3776</v>
      </c>
      <c r="C41" s="22" t="s">
        <v>3777</v>
      </c>
      <c r="D41" s="22" t="s">
        <v>2818</v>
      </c>
    </row>
    <row r="42" spans="1:4">
      <c r="A42" t="s">
        <v>3778</v>
      </c>
      <c r="B42" t="s">
        <v>3779</v>
      </c>
      <c r="C42" t="s">
        <v>3780</v>
      </c>
      <c r="D42" t="s">
        <v>3781</v>
      </c>
    </row>
    <row r="43" spans="1:4">
      <c r="A43" t="s">
        <v>3782</v>
      </c>
      <c r="B43" t="s">
        <v>3783</v>
      </c>
      <c r="C43" t="s">
        <v>3784</v>
      </c>
      <c r="D43" t="s">
        <v>3785</v>
      </c>
    </row>
    <row r="44" spans="1:4">
      <c r="A44" t="s">
        <v>3786</v>
      </c>
      <c r="B44" t="s">
        <v>3787</v>
      </c>
      <c r="C44" t="s">
        <v>3788</v>
      </c>
      <c r="D44" t="s">
        <v>3789</v>
      </c>
    </row>
    <row r="45" spans="1:4">
      <c r="A45" t="s">
        <v>3790</v>
      </c>
      <c r="B45" t="s">
        <v>3791</v>
      </c>
      <c r="C45" t="s">
        <v>3792</v>
      </c>
      <c r="D45" t="s">
        <v>3793</v>
      </c>
    </row>
    <row r="46" spans="1:4">
      <c r="A46" t="s">
        <v>3794</v>
      </c>
      <c r="B46" t="s">
        <v>3795</v>
      </c>
      <c r="C46" t="s">
        <v>3796</v>
      </c>
      <c r="D46" t="s">
        <v>3797</v>
      </c>
    </row>
    <row r="47" spans="1:4">
      <c r="A47" t="s">
        <v>3798</v>
      </c>
      <c r="B47" t="s">
        <v>3799</v>
      </c>
      <c r="C47" t="s">
        <v>3800</v>
      </c>
      <c r="D47" t="s">
        <v>3801</v>
      </c>
    </row>
    <row r="48" spans="1:4">
      <c r="A48" t="s">
        <v>3802</v>
      </c>
      <c r="B48" t="s">
        <v>3803</v>
      </c>
      <c r="C48" t="s">
        <v>3804</v>
      </c>
      <c r="D48" t="s">
        <v>3805</v>
      </c>
    </row>
    <row r="50" spans="1:5">
      <c r="A50" s="233" t="s">
        <v>3806</v>
      </c>
      <c r="B50" s="233"/>
      <c r="C50" s="233"/>
      <c r="D50" s="233"/>
      <c r="E50" s="233"/>
    </row>
    <row r="51" spans="1:5">
      <c r="A51" s="243" t="s">
        <v>3807</v>
      </c>
      <c r="B51" s="243"/>
      <c r="C51" s="243"/>
      <c r="D51" s="243"/>
      <c r="E51" s="243"/>
    </row>
    <row r="53" spans="1:5">
      <c r="A53" s="225" t="s">
        <v>3808</v>
      </c>
      <c r="B53" s="225"/>
      <c r="C53" s="225"/>
      <c r="D53" s="225"/>
      <c r="E53" s="225"/>
    </row>
    <row r="55" spans="1:5">
      <c r="A55" s="205" t="s">
        <v>3809</v>
      </c>
      <c r="B55" s="205"/>
      <c r="C55" s="205"/>
      <c r="D55" s="205"/>
      <c r="E55" s="205"/>
    </row>
  </sheetData>
  <mergeCells count="10">
    <mergeCell ref="A50:E50"/>
    <mergeCell ref="A51:E51"/>
    <mergeCell ref="A53:E53"/>
    <mergeCell ref="A55:E55"/>
    <mergeCell ref="A1:E1"/>
    <mergeCell ref="A2:E2"/>
    <mergeCell ref="A4:C4"/>
    <mergeCell ref="A17:E17"/>
    <mergeCell ref="A27:C27"/>
    <mergeCell ref="A40:D4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2026-07-18T10:49:00Z</dcterms:created>
  <dcterms:modified xsi:type="dcterms:W3CDTF">2026-07-19T15:32:06Z</dcterms:modified>
  <cp:category/>
  <cp:contentStatus/>
</cp:coreProperties>
</file>